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Running Stat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.00"/>
    <numFmt numFmtId="165" formatCode="\+0.00;\-0.00;0.00"/>
    <numFmt numFmtId="166" formatCode="\$#,##0.00;&quot;($&quot;#,##0.00\);\-"/>
    <numFmt numFmtId="167" formatCode="\+0.00%;\-0.00%"/>
    <numFmt numFmtId="168" formatCode="0.0%"/>
    <numFmt numFmtId="169" formatCode="\+0.000;\-0.000;0.00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color rgb="FF2E4057"/>
      <sz val="11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2E4057"/>
        <bgColor rgb="FF333399"/>
      </patternFill>
    </fill>
  </fills>
  <borders count="2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69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69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V2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15" min="1" max="1"/>
    <col width="12" customWidth="1" style="15" min="2" max="2"/>
    <col width="8" customWidth="1" style="15" min="3" max="3"/>
    <col width="9" customWidth="1" style="15" min="4" max="4"/>
    <col width="7" customWidth="1" style="15" min="5" max="5"/>
    <col width="16" customWidth="1" style="15" min="6" max="6"/>
    <col width="8" customWidth="1" style="15" min="7" max="7"/>
    <col width="16" customWidth="1" style="15" min="8" max="8"/>
    <col width="11" customWidth="1" style="15" min="9" max="10"/>
    <col width="9" customWidth="1" style="15" min="11" max="11"/>
    <col width="8" customWidth="1" style="15" min="12" max="12"/>
    <col width="11" customWidth="1" style="15" min="13" max="13"/>
    <col width="8" customWidth="1" style="15" min="14" max="14"/>
    <col width="12" customWidth="1" style="15" min="15" max="15"/>
    <col width="9" customWidth="1" style="15" min="16" max="16"/>
    <col width="10" customWidth="1" style="15" min="17" max="17"/>
    <col width="9" customWidth="1" style="15" min="18" max="20"/>
    <col width="30" customWidth="1" style="15" min="21" max="21"/>
  </cols>
  <sheetData>
    <row r="1" ht="23.85" customHeight="1" s="16">
      <c r="A1" s="17" t="inlineStr">
        <is>
          <t>Trade #</t>
        </is>
      </c>
      <c r="B1" s="17" t="inlineStr">
        <is>
          <t>Date</t>
        </is>
      </c>
      <c r="C1" s="17" t="inlineStr">
        <is>
          <t>Time</t>
        </is>
      </c>
      <c r="D1" s="17" t="inlineStr">
        <is>
          <t>Symbol</t>
        </is>
      </c>
      <c r="E1" s="17" t="inlineStr">
        <is>
          <t>Book</t>
        </is>
      </c>
      <c r="F1" s="17" t="inlineStr">
        <is>
          <t>Setup</t>
        </is>
      </c>
      <c r="G1" s="17" t="inlineStr">
        <is>
          <t>Quality</t>
        </is>
      </c>
      <c r="H1" s="17" t="inlineStr">
        <is>
          <t>Regime</t>
        </is>
      </c>
      <c r="I1" s="17" t="inlineStr">
        <is>
          <t>Entry Price</t>
        </is>
      </c>
      <c r="J1" s="17" t="inlineStr">
        <is>
          <t>Stop Price</t>
        </is>
      </c>
      <c r="K1" s="17" t="inlineStr">
        <is>
          <t>Risk ($)</t>
        </is>
      </c>
      <c r="L1" s="17" t="inlineStr">
        <is>
          <t>Shares</t>
        </is>
      </c>
      <c r="M1" s="17" t="inlineStr">
        <is>
          <t>Exit Price</t>
        </is>
      </c>
      <c r="N1" s="17" t="inlineStr">
        <is>
          <t>Exit Time</t>
        </is>
      </c>
      <c r="O1" s="17" t="inlineStr">
        <is>
          <t>Exit Reason</t>
        </is>
      </c>
      <c r="P1" s="17" t="inlineStr">
        <is>
          <t>Bars Held</t>
        </is>
      </c>
      <c r="Q1" s="17" t="inlineStr">
        <is>
          <t>PnL (pts)</t>
        </is>
      </c>
      <c r="R1" s="17" t="inlineStr">
        <is>
          <t>PnL (R)</t>
        </is>
      </c>
      <c r="S1" s="17" t="inlineStr">
        <is>
          <t>PnL ($)</t>
        </is>
      </c>
      <c r="T1" s="17" t="inlineStr">
        <is>
          <t>Cum R</t>
        </is>
      </c>
      <c r="U1" s="17" t="inlineStr">
        <is>
          <t>Notes</t>
        </is>
      </c>
      <c r="V1" t="inlineStr">
        <is>
          <t>Tape Perm</t>
        </is>
      </c>
    </row>
    <row r="2" ht="15" customHeight="1" s="16">
      <c r="A2" s="18">
        <f>IF(B2="","",ROW()-1)</f>
        <v/>
      </c>
      <c r="B2" s="19" t="n"/>
      <c r="C2" s="19" t="n"/>
      <c r="D2" s="19" t="n"/>
      <c r="E2" s="19" t="n"/>
      <c r="F2" s="19" t="n"/>
      <c r="G2" s="19" t="n"/>
      <c r="H2" s="19" t="n"/>
      <c r="I2" s="20" t="n"/>
      <c r="J2" s="20" t="n"/>
      <c r="K2" s="20" t="n"/>
      <c r="L2" s="18">
        <f>IF(AND(I2&lt;&gt;"",J2&lt;&gt;"",K2&lt;&gt;""),ROUND(K2/ABS(I2-J2),0),"")</f>
        <v/>
      </c>
      <c r="M2" s="20" t="n"/>
      <c r="N2" s="19" t="n"/>
      <c r="O2" s="19" t="n"/>
      <c r="P2" s="19" t="n"/>
      <c r="Q2" s="21">
        <f>IF(AND(M2&lt;&gt;"",I2&lt;&gt;""),IF(E2="LONG",M2-I2,I2-M2),"")</f>
        <v/>
      </c>
      <c r="R2" s="21">
        <f>IF(AND(Q2&lt;&gt;"",I2&lt;&gt;"",J2&lt;&gt;""),Q2/ABS(I2-J2),"")</f>
        <v/>
      </c>
      <c r="S2" s="22">
        <f>IF(AND(R2&lt;&gt;"",K2&lt;&gt;""),R2*K2,"")</f>
        <v/>
      </c>
      <c r="T2" s="21">
        <f>IF(R2&lt;&gt;"",R2,"")</f>
        <v/>
      </c>
      <c r="U2" s="19" t="n"/>
    </row>
    <row r="3" ht="15" customHeight="1" s="16">
      <c r="A3" s="18">
        <f>IF(B3="","",ROW()-1)</f>
        <v/>
      </c>
      <c r="B3" s="19" t="n"/>
      <c r="C3" s="19" t="n"/>
      <c r="D3" s="19" t="n"/>
      <c r="E3" s="19" t="n"/>
      <c r="F3" s="19" t="n"/>
      <c r="G3" s="19" t="n"/>
      <c r="H3" s="19" t="n"/>
      <c r="I3" s="20" t="n"/>
      <c r="J3" s="20" t="n"/>
      <c r="K3" s="20" t="n"/>
      <c r="L3" s="18">
        <f>IF(AND(I3&lt;&gt;"",J3&lt;&gt;"",K3&lt;&gt;""),ROUND(K3/ABS(I3-J3),0),"")</f>
        <v/>
      </c>
      <c r="M3" s="20" t="n"/>
      <c r="N3" s="19" t="n"/>
      <c r="O3" s="19" t="n"/>
      <c r="P3" s="19" t="n"/>
      <c r="Q3" s="21">
        <f>IF(AND(M3&lt;&gt;"",I3&lt;&gt;""),IF(E3="LONG",M3-I3,I3-M3),"")</f>
        <v/>
      </c>
      <c r="R3" s="21">
        <f>IF(AND(Q3&lt;&gt;"",I3&lt;&gt;"",J3&lt;&gt;""),Q3/ABS(I3-J3),"")</f>
        <v/>
      </c>
      <c r="S3" s="22">
        <f>IF(AND(R3&lt;&gt;"",K3&lt;&gt;""),R3*K3,"")</f>
        <v/>
      </c>
      <c r="T3" s="21">
        <f>IF(R3&lt;&gt;"",T2+R3,"")</f>
        <v/>
      </c>
      <c r="U3" s="19" t="n"/>
    </row>
    <row r="4" ht="15" customHeight="1" s="16">
      <c r="A4" s="18">
        <f>IF(B4="","",ROW()-1)</f>
        <v/>
      </c>
      <c r="B4" s="19" t="n"/>
      <c r="C4" s="19" t="n"/>
      <c r="D4" s="19" t="n"/>
      <c r="E4" s="19" t="n"/>
      <c r="F4" s="19" t="n"/>
      <c r="G4" s="19" t="n"/>
      <c r="H4" s="19" t="n"/>
      <c r="I4" s="20" t="n"/>
      <c r="J4" s="20" t="n"/>
      <c r="K4" s="20" t="n"/>
      <c r="L4" s="18">
        <f>IF(AND(I4&lt;&gt;"",J4&lt;&gt;"",K4&lt;&gt;""),ROUND(K4/ABS(I4-J4),0),"")</f>
        <v/>
      </c>
      <c r="M4" s="20" t="n"/>
      <c r="N4" s="19" t="n"/>
      <c r="O4" s="19" t="n"/>
      <c r="P4" s="19" t="n"/>
      <c r="Q4" s="21">
        <f>IF(AND(M4&lt;&gt;"",I4&lt;&gt;""),IF(E4="LONG",M4-I4,I4-M4),"")</f>
        <v/>
      </c>
      <c r="R4" s="21">
        <f>IF(AND(Q4&lt;&gt;"",I4&lt;&gt;"",J4&lt;&gt;""),Q4/ABS(I4-J4),"")</f>
        <v/>
      </c>
      <c r="S4" s="22">
        <f>IF(AND(R4&lt;&gt;"",K4&lt;&gt;""),R4*K4,"")</f>
        <v/>
      </c>
      <c r="T4" s="21">
        <f>IF(R4&lt;&gt;"",T3+R4,"")</f>
        <v/>
      </c>
      <c r="U4" s="19" t="n"/>
    </row>
    <row r="5" ht="15" customHeight="1" s="16">
      <c r="A5" s="18">
        <f>IF(B5="","",ROW()-1)</f>
        <v/>
      </c>
      <c r="B5" s="19" t="n"/>
      <c r="C5" s="19" t="n"/>
      <c r="D5" s="19" t="n"/>
      <c r="E5" s="19" t="n"/>
      <c r="F5" s="19" t="n"/>
      <c r="G5" s="19" t="n"/>
      <c r="H5" s="19" t="n"/>
      <c r="I5" s="20" t="n"/>
      <c r="J5" s="20" t="n"/>
      <c r="K5" s="20" t="n"/>
      <c r="L5" s="18">
        <f>IF(AND(I5&lt;&gt;"",J5&lt;&gt;"",K5&lt;&gt;""),ROUND(K5/ABS(I5-J5),0),"")</f>
        <v/>
      </c>
      <c r="M5" s="20" t="n"/>
      <c r="N5" s="19" t="n"/>
      <c r="O5" s="19" t="n"/>
      <c r="P5" s="19" t="n"/>
      <c r="Q5" s="21">
        <f>IF(AND(M5&lt;&gt;"",I5&lt;&gt;""),IF(E5="LONG",M5-I5,I5-M5),"")</f>
        <v/>
      </c>
      <c r="R5" s="21">
        <f>IF(AND(Q5&lt;&gt;"",I5&lt;&gt;"",J5&lt;&gt;""),Q5/ABS(I5-J5),"")</f>
        <v/>
      </c>
      <c r="S5" s="22">
        <f>IF(AND(R5&lt;&gt;"",K5&lt;&gt;""),R5*K5,"")</f>
        <v/>
      </c>
      <c r="T5" s="21">
        <f>IF(R5&lt;&gt;"",T4+R5,"")</f>
        <v/>
      </c>
      <c r="U5" s="19" t="n"/>
    </row>
    <row r="6" ht="15" customHeight="1" s="16">
      <c r="A6" s="18">
        <f>IF(B6="","",ROW()-1)</f>
        <v/>
      </c>
      <c r="B6" s="19" t="n"/>
      <c r="C6" s="19" t="n"/>
      <c r="D6" s="19" t="n"/>
      <c r="E6" s="19" t="n"/>
      <c r="F6" s="19" t="n"/>
      <c r="G6" s="19" t="n"/>
      <c r="H6" s="19" t="n"/>
      <c r="I6" s="20" t="n"/>
      <c r="J6" s="20" t="n"/>
      <c r="K6" s="20" t="n"/>
      <c r="L6" s="18">
        <f>IF(AND(I6&lt;&gt;"",J6&lt;&gt;"",K6&lt;&gt;""),ROUND(K6/ABS(I6-J6),0),"")</f>
        <v/>
      </c>
      <c r="M6" s="20" t="n"/>
      <c r="N6" s="19" t="n"/>
      <c r="O6" s="19" t="n"/>
      <c r="P6" s="19" t="n"/>
      <c r="Q6" s="21">
        <f>IF(AND(M6&lt;&gt;"",I6&lt;&gt;""),IF(E6="LONG",M6-I6,I6-M6),"")</f>
        <v/>
      </c>
      <c r="R6" s="21">
        <f>IF(AND(Q6&lt;&gt;"",I6&lt;&gt;"",J6&lt;&gt;""),Q6/ABS(I6-J6),"")</f>
        <v/>
      </c>
      <c r="S6" s="22">
        <f>IF(AND(R6&lt;&gt;"",K6&lt;&gt;""),R6*K6,"")</f>
        <v/>
      </c>
      <c r="T6" s="21">
        <f>IF(R6&lt;&gt;"",T5+R6,"")</f>
        <v/>
      </c>
      <c r="U6" s="19" t="n"/>
    </row>
    <row r="7" ht="15" customHeight="1" s="16">
      <c r="A7" s="18">
        <f>IF(B7="","",ROW()-1)</f>
        <v/>
      </c>
      <c r="B7" s="19" t="n"/>
      <c r="C7" s="19" t="n"/>
      <c r="D7" s="19" t="n"/>
      <c r="E7" s="19" t="n"/>
      <c r="F7" s="19" t="n"/>
      <c r="G7" s="19" t="n"/>
      <c r="H7" s="19" t="n"/>
      <c r="I7" s="20" t="n"/>
      <c r="J7" s="20" t="n"/>
      <c r="K7" s="20" t="n"/>
      <c r="L7" s="18">
        <f>IF(AND(I7&lt;&gt;"",J7&lt;&gt;"",K7&lt;&gt;""),ROUND(K7/ABS(I7-J7),0),"")</f>
        <v/>
      </c>
      <c r="M7" s="20" t="n"/>
      <c r="N7" s="19" t="n"/>
      <c r="O7" s="19" t="n"/>
      <c r="P7" s="19" t="n"/>
      <c r="Q7" s="21">
        <f>IF(AND(M7&lt;&gt;"",I7&lt;&gt;""),IF(E7="LONG",M7-I7,I7-M7),"")</f>
        <v/>
      </c>
      <c r="R7" s="21">
        <f>IF(AND(Q7&lt;&gt;"",I7&lt;&gt;"",J7&lt;&gt;""),Q7/ABS(I7-J7),"")</f>
        <v/>
      </c>
      <c r="S7" s="22">
        <f>IF(AND(R7&lt;&gt;"",K7&lt;&gt;""),R7*K7,"")</f>
        <v/>
      </c>
      <c r="T7" s="21">
        <f>IF(R7&lt;&gt;"",T6+R7,"")</f>
        <v/>
      </c>
      <c r="U7" s="19" t="n"/>
    </row>
    <row r="8" ht="15" customHeight="1" s="16">
      <c r="A8" s="18">
        <f>IF(B8="","",ROW()-1)</f>
        <v/>
      </c>
      <c r="B8" s="19" t="n"/>
      <c r="C8" s="19" t="n"/>
      <c r="D8" s="19" t="n"/>
      <c r="E8" s="19" t="n"/>
      <c r="F8" s="19" t="n"/>
      <c r="G8" s="19" t="n"/>
      <c r="H8" s="19" t="n"/>
      <c r="I8" s="20" t="n"/>
      <c r="J8" s="20" t="n"/>
      <c r="K8" s="20" t="n"/>
      <c r="L8" s="18">
        <f>IF(AND(I8&lt;&gt;"",J8&lt;&gt;"",K8&lt;&gt;""),ROUND(K8/ABS(I8-J8),0),"")</f>
        <v/>
      </c>
      <c r="M8" s="20" t="n"/>
      <c r="N8" s="19" t="n"/>
      <c r="O8" s="19" t="n"/>
      <c r="P8" s="19" t="n"/>
      <c r="Q8" s="21">
        <f>IF(AND(M8&lt;&gt;"",I8&lt;&gt;""),IF(E8="LONG",M8-I8,I8-M8),"")</f>
        <v/>
      </c>
      <c r="R8" s="21">
        <f>IF(AND(Q8&lt;&gt;"",I8&lt;&gt;"",J8&lt;&gt;""),Q8/ABS(I8-J8),"")</f>
        <v/>
      </c>
      <c r="S8" s="22">
        <f>IF(AND(R8&lt;&gt;"",K8&lt;&gt;""),R8*K8,"")</f>
        <v/>
      </c>
      <c r="T8" s="21">
        <f>IF(R8&lt;&gt;"",T7+R8,"")</f>
        <v/>
      </c>
      <c r="U8" s="19" t="n"/>
    </row>
    <row r="9" ht="15" customHeight="1" s="16">
      <c r="A9" s="18">
        <f>IF(B9="","",ROW()-1)</f>
        <v/>
      </c>
      <c r="B9" s="19" t="n"/>
      <c r="C9" s="19" t="n"/>
      <c r="D9" s="19" t="n"/>
      <c r="E9" s="19" t="n"/>
      <c r="F9" s="19" t="n"/>
      <c r="G9" s="19" t="n"/>
      <c r="H9" s="19" t="n"/>
      <c r="I9" s="20" t="n"/>
      <c r="J9" s="20" t="n"/>
      <c r="K9" s="20" t="n"/>
      <c r="L9" s="18">
        <f>IF(AND(I9&lt;&gt;"",J9&lt;&gt;"",K9&lt;&gt;""),ROUND(K9/ABS(I9-J9),0),"")</f>
        <v/>
      </c>
      <c r="M9" s="20" t="n"/>
      <c r="N9" s="19" t="n"/>
      <c r="O9" s="19" t="n"/>
      <c r="P9" s="19" t="n"/>
      <c r="Q9" s="21">
        <f>IF(AND(M9&lt;&gt;"",I9&lt;&gt;""),IF(E9="LONG",M9-I9,I9-M9),"")</f>
        <v/>
      </c>
      <c r="R9" s="21">
        <f>IF(AND(Q9&lt;&gt;"",I9&lt;&gt;"",J9&lt;&gt;""),Q9/ABS(I9-J9),"")</f>
        <v/>
      </c>
      <c r="S9" s="22">
        <f>IF(AND(R9&lt;&gt;"",K9&lt;&gt;""),R9*K9,"")</f>
        <v/>
      </c>
      <c r="T9" s="21">
        <f>IF(R9&lt;&gt;"",T8+R9,"")</f>
        <v/>
      </c>
      <c r="U9" s="19" t="n"/>
    </row>
    <row r="10" ht="15" customHeight="1" s="16">
      <c r="A10" s="18">
        <f>IF(B10="","",ROW()-1)</f>
        <v/>
      </c>
      <c r="B10" s="19" t="n"/>
      <c r="C10" s="19" t="n"/>
      <c r="D10" s="19" t="n"/>
      <c r="E10" s="19" t="n"/>
      <c r="F10" s="19" t="n"/>
      <c r="G10" s="19" t="n"/>
      <c r="H10" s="19" t="n"/>
      <c r="I10" s="20" t="n"/>
      <c r="J10" s="20" t="n"/>
      <c r="K10" s="20" t="n"/>
      <c r="L10" s="18">
        <f>IF(AND(I10&lt;&gt;"",J10&lt;&gt;"",K10&lt;&gt;""),ROUND(K10/ABS(I10-J10),0),"")</f>
        <v/>
      </c>
      <c r="M10" s="20" t="n"/>
      <c r="N10" s="19" t="n"/>
      <c r="O10" s="19" t="n"/>
      <c r="P10" s="19" t="n"/>
      <c r="Q10" s="21">
        <f>IF(AND(M10&lt;&gt;"",I10&lt;&gt;""),IF(E10="LONG",M10-I10,I10-M10),"")</f>
        <v/>
      </c>
      <c r="R10" s="21">
        <f>IF(AND(Q10&lt;&gt;"",I10&lt;&gt;"",J10&lt;&gt;""),Q10/ABS(I10-J10),"")</f>
        <v/>
      </c>
      <c r="S10" s="22">
        <f>IF(AND(R10&lt;&gt;"",K10&lt;&gt;""),R10*K10,"")</f>
        <v/>
      </c>
      <c r="T10" s="21">
        <f>IF(R10&lt;&gt;"",T9+R10,"")</f>
        <v/>
      </c>
      <c r="U10" s="19" t="n"/>
    </row>
    <row r="11" ht="15" customHeight="1" s="16">
      <c r="A11" s="18">
        <f>IF(B11="","",ROW()-1)</f>
        <v/>
      </c>
      <c r="B11" s="19" t="n"/>
      <c r="C11" s="19" t="n"/>
      <c r="D11" s="19" t="n"/>
      <c r="E11" s="19" t="n"/>
      <c r="F11" s="19" t="n"/>
      <c r="G11" s="19" t="n"/>
      <c r="H11" s="19" t="n"/>
      <c r="I11" s="20" t="n"/>
      <c r="J11" s="20" t="n"/>
      <c r="K11" s="20" t="n"/>
      <c r="L11" s="18">
        <f>IF(AND(I11&lt;&gt;"",J11&lt;&gt;"",K11&lt;&gt;""),ROUND(K11/ABS(I11-J11),0),"")</f>
        <v/>
      </c>
      <c r="M11" s="20" t="n"/>
      <c r="N11" s="19" t="n"/>
      <c r="O11" s="19" t="n"/>
      <c r="P11" s="19" t="n"/>
      <c r="Q11" s="21">
        <f>IF(AND(M11&lt;&gt;"",I11&lt;&gt;""),IF(E11="LONG",M11-I11,I11-M11),"")</f>
        <v/>
      </c>
      <c r="R11" s="21">
        <f>IF(AND(Q11&lt;&gt;"",I11&lt;&gt;"",J11&lt;&gt;""),Q11/ABS(I11-J11),"")</f>
        <v/>
      </c>
      <c r="S11" s="22">
        <f>IF(AND(R11&lt;&gt;"",K11&lt;&gt;""),R11*K11,"")</f>
        <v/>
      </c>
      <c r="T11" s="21">
        <f>IF(R11&lt;&gt;"",T10+R11,"")</f>
        <v/>
      </c>
      <c r="U11" s="19" t="n"/>
    </row>
    <row r="12" ht="15" customHeight="1" s="16">
      <c r="A12" s="18">
        <f>IF(B12="","",ROW()-1)</f>
        <v/>
      </c>
      <c r="B12" s="19" t="n"/>
      <c r="C12" s="19" t="n"/>
      <c r="D12" s="19" t="n"/>
      <c r="E12" s="19" t="n"/>
      <c r="F12" s="19" t="n"/>
      <c r="G12" s="19" t="n"/>
      <c r="H12" s="19" t="n"/>
      <c r="I12" s="20" t="n"/>
      <c r="J12" s="20" t="n"/>
      <c r="K12" s="20" t="n"/>
      <c r="L12" s="18">
        <f>IF(AND(I12&lt;&gt;"",J12&lt;&gt;"",K12&lt;&gt;""),ROUND(K12/ABS(I12-J12),0),"")</f>
        <v/>
      </c>
      <c r="M12" s="20" t="n"/>
      <c r="N12" s="19" t="n"/>
      <c r="O12" s="19" t="n"/>
      <c r="P12" s="19" t="n"/>
      <c r="Q12" s="21">
        <f>IF(AND(M12&lt;&gt;"",I12&lt;&gt;""),IF(E12="LONG",M12-I12,I12-M12),"")</f>
        <v/>
      </c>
      <c r="R12" s="21">
        <f>IF(AND(Q12&lt;&gt;"",I12&lt;&gt;"",J12&lt;&gt;""),Q12/ABS(I12-J12),"")</f>
        <v/>
      </c>
      <c r="S12" s="22">
        <f>IF(AND(R12&lt;&gt;"",K12&lt;&gt;""),R12*K12,"")</f>
        <v/>
      </c>
      <c r="T12" s="21">
        <f>IF(R12&lt;&gt;"",T11+R12,"")</f>
        <v/>
      </c>
      <c r="U12" s="19" t="n"/>
    </row>
    <row r="13" ht="15" customHeight="1" s="16">
      <c r="A13" s="18">
        <f>IF(B13="","",ROW()-1)</f>
        <v/>
      </c>
      <c r="B13" s="19" t="n"/>
      <c r="C13" s="19" t="n"/>
      <c r="D13" s="19" t="n"/>
      <c r="E13" s="19" t="n"/>
      <c r="F13" s="19" t="n"/>
      <c r="G13" s="19" t="n"/>
      <c r="H13" s="19" t="n"/>
      <c r="I13" s="20" t="n"/>
      <c r="J13" s="20" t="n"/>
      <c r="K13" s="20" t="n"/>
      <c r="L13" s="18">
        <f>IF(AND(I13&lt;&gt;"",J13&lt;&gt;"",K13&lt;&gt;""),ROUND(K13/ABS(I13-J13),0),"")</f>
        <v/>
      </c>
      <c r="M13" s="20" t="n"/>
      <c r="N13" s="19" t="n"/>
      <c r="O13" s="19" t="n"/>
      <c r="P13" s="19" t="n"/>
      <c r="Q13" s="21">
        <f>IF(AND(M13&lt;&gt;"",I13&lt;&gt;""),IF(E13="LONG",M13-I13,I13-M13),"")</f>
        <v/>
      </c>
      <c r="R13" s="21">
        <f>IF(AND(Q13&lt;&gt;"",I13&lt;&gt;"",J13&lt;&gt;""),Q13/ABS(I13-J13),"")</f>
        <v/>
      </c>
      <c r="S13" s="22">
        <f>IF(AND(R13&lt;&gt;"",K13&lt;&gt;""),R13*K13,"")</f>
        <v/>
      </c>
      <c r="T13" s="21">
        <f>IF(R13&lt;&gt;"",T12+R13,"")</f>
        <v/>
      </c>
      <c r="U13" s="19" t="n"/>
    </row>
    <row r="14" ht="15" customHeight="1" s="16">
      <c r="A14" s="18">
        <f>IF(B14="","",ROW()-1)</f>
        <v/>
      </c>
      <c r="B14" s="19" t="n"/>
      <c r="C14" s="19" t="n"/>
      <c r="D14" s="19" t="n"/>
      <c r="E14" s="19" t="n"/>
      <c r="F14" s="19" t="n"/>
      <c r="G14" s="19" t="n"/>
      <c r="H14" s="19" t="n"/>
      <c r="I14" s="20" t="n"/>
      <c r="J14" s="20" t="n"/>
      <c r="K14" s="20" t="n"/>
      <c r="L14" s="18">
        <f>IF(AND(I14&lt;&gt;"",J14&lt;&gt;"",K14&lt;&gt;""),ROUND(K14/ABS(I14-J14),0),"")</f>
        <v/>
      </c>
      <c r="M14" s="20" t="n"/>
      <c r="N14" s="19" t="n"/>
      <c r="O14" s="19" t="n"/>
      <c r="P14" s="19" t="n"/>
      <c r="Q14" s="21">
        <f>IF(AND(M14&lt;&gt;"",I14&lt;&gt;""),IF(E14="LONG",M14-I14,I14-M14),"")</f>
        <v/>
      </c>
      <c r="R14" s="21">
        <f>IF(AND(Q14&lt;&gt;"",I14&lt;&gt;"",J14&lt;&gt;""),Q14/ABS(I14-J14),"")</f>
        <v/>
      </c>
      <c r="S14" s="22">
        <f>IF(AND(R14&lt;&gt;"",K14&lt;&gt;""),R14*K14,"")</f>
        <v/>
      </c>
      <c r="T14" s="21">
        <f>IF(R14&lt;&gt;"",T13+R14,"")</f>
        <v/>
      </c>
      <c r="U14" s="19" t="n"/>
    </row>
    <row r="15" ht="15" customHeight="1" s="16">
      <c r="A15" s="18">
        <f>IF(B15="","",ROW()-1)</f>
        <v/>
      </c>
      <c r="B15" s="19" t="n"/>
      <c r="C15" s="19" t="n"/>
      <c r="D15" s="19" t="n"/>
      <c r="E15" s="19" t="n"/>
      <c r="F15" s="19" t="n"/>
      <c r="G15" s="19" t="n"/>
      <c r="H15" s="19" t="n"/>
      <c r="I15" s="20" t="n"/>
      <c r="J15" s="20" t="n"/>
      <c r="K15" s="20" t="n"/>
      <c r="L15" s="18">
        <f>IF(AND(I15&lt;&gt;"",J15&lt;&gt;"",K15&lt;&gt;""),ROUND(K15/ABS(I15-J15),0),"")</f>
        <v/>
      </c>
      <c r="M15" s="20" t="n"/>
      <c r="N15" s="19" t="n"/>
      <c r="O15" s="19" t="n"/>
      <c r="P15" s="19" t="n"/>
      <c r="Q15" s="21">
        <f>IF(AND(M15&lt;&gt;"",I15&lt;&gt;""),IF(E15="LONG",M15-I15,I15-M15),"")</f>
        <v/>
      </c>
      <c r="R15" s="21">
        <f>IF(AND(Q15&lt;&gt;"",I15&lt;&gt;"",J15&lt;&gt;""),Q15/ABS(I15-J15),"")</f>
        <v/>
      </c>
      <c r="S15" s="22">
        <f>IF(AND(R15&lt;&gt;"",K15&lt;&gt;""),R15*K15,"")</f>
        <v/>
      </c>
      <c r="T15" s="21">
        <f>IF(R15&lt;&gt;"",T14+R15,"")</f>
        <v/>
      </c>
      <c r="U15" s="19" t="n"/>
    </row>
    <row r="16" ht="15" customHeight="1" s="16">
      <c r="A16" s="18">
        <f>IF(B16="","",ROW()-1)</f>
        <v/>
      </c>
      <c r="B16" s="19" t="n"/>
      <c r="C16" s="19" t="n"/>
      <c r="D16" s="19" t="n"/>
      <c r="E16" s="19" t="n"/>
      <c r="F16" s="19" t="n"/>
      <c r="G16" s="19" t="n"/>
      <c r="H16" s="19" t="n"/>
      <c r="I16" s="20" t="n"/>
      <c r="J16" s="20" t="n"/>
      <c r="K16" s="20" t="n"/>
      <c r="L16" s="18">
        <f>IF(AND(I16&lt;&gt;"",J16&lt;&gt;"",K16&lt;&gt;""),ROUND(K16/ABS(I16-J16),0),"")</f>
        <v/>
      </c>
      <c r="M16" s="20" t="n"/>
      <c r="N16" s="19" t="n"/>
      <c r="O16" s="19" t="n"/>
      <c r="P16" s="19" t="n"/>
      <c r="Q16" s="21">
        <f>IF(AND(M16&lt;&gt;"",I16&lt;&gt;""),IF(E16="LONG",M16-I16,I16-M16),"")</f>
        <v/>
      </c>
      <c r="R16" s="21">
        <f>IF(AND(Q16&lt;&gt;"",I16&lt;&gt;"",J16&lt;&gt;""),Q16/ABS(I16-J16),"")</f>
        <v/>
      </c>
      <c r="S16" s="22">
        <f>IF(AND(R16&lt;&gt;"",K16&lt;&gt;""),R16*K16,"")</f>
        <v/>
      </c>
      <c r="T16" s="21">
        <f>IF(R16&lt;&gt;"",T15+R16,"")</f>
        <v/>
      </c>
      <c r="U16" s="19" t="n"/>
    </row>
    <row r="17" ht="15" customHeight="1" s="16">
      <c r="A17" s="18">
        <f>IF(B17="","",ROW()-1)</f>
        <v/>
      </c>
      <c r="B17" s="19" t="n"/>
      <c r="C17" s="19" t="n"/>
      <c r="D17" s="19" t="n"/>
      <c r="E17" s="19" t="n"/>
      <c r="F17" s="19" t="n"/>
      <c r="G17" s="19" t="n"/>
      <c r="H17" s="19" t="n"/>
      <c r="I17" s="20" t="n"/>
      <c r="J17" s="20" t="n"/>
      <c r="K17" s="20" t="n"/>
      <c r="L17" s="18">
        <f>IF(AND(I17&lt;&gt;"",J17&lt;&gt;"",K17&lt;&gt;""),ROUND(K17/ABS(I17-J17),0),"")</f>
        <v/>
      </c>
      <c r="M17" s="20" t="n"/>
      <c r="N17" s="19" t="n"/>
      <c r="O17" s="19" t="n"/>
      <c r="P17" s="19" t="n"/>
      <c r="Q17" s="21">
        <f>IF(AND(M17&lt;&gt;"",I17&lt;&gt;""),IF(E17="LONG",M17-I17,I17-M17),"")</f>
        <v/>
      </c>
      <c r="R17" s="21">
        <f>IF(AND(Q17&lt;&gt;"",I17&lt;&gt;"",J17&lt;&gt;""),Q17/ABS(I17-J17),"")</f>
        <v/>
      </c>
      <c r="S17" s="22">
        <f>IF(AND(R17&lt;&gt;"",K17&lt;&gt;""),R17*K17,"")</f>
        <v/>
      </c>
      <c r="T17" s="21">
        <f>IF(R17&lt;&gt;"",T16+R17,"")</f>
        <v/>
      </c>
      <c r="U17" s="19" t="n"/>
    </row>
    <row r="18" ht="15" customHeight="1" s="16">
      <c r="A18" s="18">
        <f>IF(B18="","",ROW()-1)</f>
        <v/>
      </c>
      <c r="B18" s="19" t="n"/>
      <c r="C18" s="19" t="n"/>
      <c r="D18" s="19" t="n"/>
      <c r="E18" s="19" t="n"/>
      <c r="F18" s="19" t="n"/>
      <c r="G18" s="19" t="n"/>
      <c r="H18" s="19" t="n"/>
      <c r="I18" s="20" t="n"/>
      <c r="J18" s="20" t="n"/>
      <c r="K18" s="20" t="n"/>
      <c r="L18" s="18">
        <f>IF(AND(I18&lt;&gt;"",J18&lt;&gt;"",K18&lt;&gt;""),ROUND(K18/ABS(I18-J18),0),"")</f>
        <v/>
      </c>
      <c r="M18" s="20" t="n"/>
      <c r="N18" s="19" t="n"/>
      <c r="O18" s="19" t="n"/>
      <c r="P18" s="19" t="n"/>
      <c r="Q18" s="21">
        <f>IF(AND(M18&lt;&gt;"",I18&lt;&gt;""),IF(E18="LONG",M18-I18,I18-M18),"")</f>
        <v/>
      </c>
      <c r="R18" s="21">
        <f>IF(AND(Q18&lt;&gt;"",I18&lt;&gt;"",J18&lt;&gt;""),Q18/ABS(I18-J18),"")</f>
        <v/>
      </c>
      <c r="S18" s="22">
        <f>IF(AND(R18&lt;&gt;"",K18&lt;&gt;""),R18*K18,"")</f>
        <v/>
      </c>
      <c r="T18" s="21">
        <f>IF(R18&lt;&gt;"",T17+R18,"")</f>
        <v/>
      </c>
      <c r="U18" s="19" t="n"/>
    </row>
    <row r="19" ht="15" customHeight="1" s="16">
      <c r="A19" s="18">
        <f>IF(B19="","",ROW()-1)</f>
        <v/>
      </c>
      <c r="B19" s="19" t="n"/>
      <c r="C19" s="19" t="n"/>
      <c r="D19" s="19" t="n"/>
      <c r="E19" s="19" t="n"/>
      <c r="F19" s="19" t="n"/>
      <c r="G19" s="19" t="n"/>
      <c r="H19" s="19" t="n"/>
      <c r="I19" s="20" t="n"/>
      <c r="J19" s="20" t="n"/>
      <c r="K19" s="20" t="n"/>
      <c r="L19" s="18">
        <f>IF(AND(I19&lt;&gt;"",J19&lt;&gt;"",K19&lt;&gt;""),ROUND(K19/ABS(I19-J19),0),"")</f>
        <v/>
      </c>
      <c r="M19" s="20" t="n"/>
      <c r="N19" s="19" t="n"/>
      <c r="O19" s="19" t="n"/>
      <c r="P19" s="19" t="n"/>
      <c r="Q19" s="21">
        <f>IF(AND(M19&lt;&gt;"",I19&lt;&gt;""),IF(E19="LONG",M19-I19,I19-M19),"")</f>
        <v/>
      </c>
      <c r="R19" s="21">
        <f>IF(AND(Q19&lt;&gt;"",I19&lt;&gt;"",J19&lt;&gt;""),Q19/ABS(I19-J19),"")</f>
        <v/>
      </c>
      <c r="S19" s="22">
        <f>IF(AND(R19&lt;&gt;"",K19&lt;&gt;""),R19*K19,"")</f>
        <v/>
      </c>
      <c r="T19" s="21">
        <f>IF(R19&lt;&gt;"",T18+R19,"")</f>
        <v/>
      </c>
      <c r="U19" s="19" t="n"/>
    </row>
    <row r="20" ht="15" customHeight="1" s="16">
      <c r="A20" s="18">
        <f>IF(B20="","",ROW()-1)</f>
        <v/>
      </c>
      <c r="B20" s="19" t="n"/>
      <c r="C20" s="19" t="n"/>
      <c r="D20" s="19" t="n"/>
      <c r="E20" s="19" t="n"/>
      <c r="F20" s="19" t="n"/>
      <c r="G20" s="19" t="n"/>
      <c r="H20" s="19" t="n"/>
      <c r="I20" s="20" t="n"/>
      <c r="J20" s="20" t="n"/>
      <c r="K20" s="20" t="n"/>
      <c r="L20" s="18">
        <f>IF(AND(I20&lt;&gt;"",J20&lt;&gt;"",K20&lt;&gt;""),ROUND(K20/ABS(I20-J20),0),"")</f>
        <v/>
      </c>
      <c r="M20" s="20" t="n"/>
      <c r="N20" s="19" t="n"/>
      <c r="O20" s="19" t="n"/>
      <c r="P20" s="19" t="n"/>
      <c r="Q20" s="21">
        <f>IF(AND(M20&lt;&gt;"",I20&lt;&gt;""),IF(E20="LONG",M20-I20,I20-M20),"")</f>
        <v/>
      </c>
      <c r="R20" s="21">
        <f>IF(AND(Q20&lt;&gt;"",I20&lt;&gt;"",J20&lt;&gt;""),Q20/ABS(I20-J20),"")</f>
        <v/>
      </c>
      <c r="S20" s="22">
        <f>IF(AND(R20&lt;&gt;"",K20&lt;&gt;""),R20*K20,"")</f>
        <v/>
      </c>
      <c r="T20" s="21">
        <f>IF(R20&lt;&gt;"",T19+R20,"")</f>
        <v/>
      </c>
      <c r="U20" s="19" t="n"/>
    </row>
    <row r="21" ht="15" customHeight="1" s="16">
      <c r="A21" s="18">
        <f>IF(B21="","",ROW()-1)</f>
        <v/>
      </c>
      <c r="B21" s="19" t="n"/>
      <c r="C21" s="19" t="n"/>
      <c r="D21" s="19" t="n"/>
      <c r="E21" s="19" t="n"/>
      <c r="F21" s="19" t="n"/>
      <c r="G21" s="19" t="n"/>
      <c r="H21" s="19" t="n"/>
      <c r="I21" s="20" t="n"/>
      <c r="J21" s="20" t="n"/>
      <c r="K21" s="20" t="n"/>
      <c r="L21" s="18">
        <f>IF(AND(I21&lt;&gt;"",J21&lt;&gt;"",K21&lt;&gt;""),ROUND(K21/ABS(I21-J21),0),"")</f>
        <v/>
      </c>
      <c r="M21" s="20" t="n"/>
      <c r="N21" s="19" t="n"/>
      <c r="O21" s="19" t="n"/>
      <c r="P21" s="19" t="n"/>
      <c r="Q21" s="21">
        <f>IF(AND(M21&lt;&gt;"",I21&lt;&gt;""),IF(E21="LONG",M21-I21,I21-M21),"")</f>
        <v/>
      </c>
      <c r="R21" s="21">
        <f>IF(AND(Q21&lt;&gt;"",I21&lt;&gt;"",J21&lt;&gt;""),Q21/ABS(I21-J21),"")</f>
        <v/>
      </c>
      <c r="S21" s="22">
        <f>IF(AND(R21&lt;&gt;"",K21&lt;&gt;""),R21*K21,"")</f>
        <v/>
      </c>
      <c r="T21" s="21">
        <f>IF(R21&lt;&gt;"",T20+R21,"")</f>
        <v/>
      </c>
      <c r="U21" s="19" t="n"/>
    </row>
    <row r="22" ht="15" customHeight="1" s="16">
      <c r="A22" s="18">
        <f>IF(B22="","",ROW()-1)</f>
        <v/>
      </c>
      <c r="B22" s="19" t="n"/>
      <c r="C22" s="19" t="n"/>
      <c r="D22" s="19" t="n"/>
      <c r="E22" s="19" t="n"/>
      <c r="F22" s="19" t="n"/>
      <c r="G22" s="19" t="n"/>
      <c r="H22" s="19" t="n"/>
      <c r="I22" s="20" t="n"/>
      <c r="J22" s="20" t="n"/>
      <c r="K22" s="20" t="n"/>
      <c r="L22" s="18">
        <f>IF(AND(I22&lt;&gt;"",J22&lt;&gt;"",K22&lt;&gt;""),ROUND(K22/ABS(I22-J22),0),"")</f>
        <v/>
      </c>
      <c r="M22" s="20" t="n"/>
      <c r="N22" s="19" t="n"/>
      <c r="O22" s="19" t="n"/>
      <c r="P22" s="19" t="n"/>
      <c r="Q22" s="21">
        <f>IF(AND(M22&lt;&gt;"",I22&lt;&gt;""),IF(E22="LONG",M22-I22,I22-M22),"")</f>
        <v/>
      </c>
      <c r="R22" s="21">
        <f>IF(AND(Q22&lt;&gt;"",I22&lt;&gt;"",J22&lt;&gt;""),Q22/ABS(I22-J22),"")</f>
        <v/>
      </c>
      <c r="S22" s="22">
        <f>IF(AND(R22&lt;&gt;"",K22&lt;&gt;""),R22*K22,"")</f>
        <v/>
      </c>
      <c r="T22" s="21">
        <f>IF(R22&lt;&gt;"",T21+R22,"")</f>
        <v/>
      </c>
      <c r="U22" s="19" t="n"/>
    </row>
    <row r="23" ht="15" customHeight="1" s="16">
      <c r="A23" s="18">
        <f>IF(B23="","",ROW()-1)</f>
        <v/>
      </c>
      <c r="B23" s="19" t="n"/>
      <c r="C23" s="19" t="n"/>
      <c r="D23" s="19" t="n"/>
      <c r="E23" s="19" t="n"/>
      <c r="F23" s="19" t="n"/>
      <c r="G23" s="19" t="n"/>
      <c r="H23" s="19" t="n"/>
      <c r="I23" s="20" t="n"/>
      <c r="J23" s="20" t="n"/>
      <c r="K23" s="20" t="n"/>
      <c r="L23" s="18">
        <f>IF(AND(I23&lt;&gt;"",J23&lt;&gt;"",K23&lt;&gt;""),ROUND(K23/ABS(I23-J23),0),"")</f>
        <v/>
      </c>
      <c r="M23" s="20" t="n"/>
      <c r="N23" s="19" t="n"/>
      <c r="O23" s="19" t="n"/>
      <c r="P23" s="19" t="n"/>
      <c r="Q23" s="21">
        <f>IF(AND(M23&lt;&gt;"",I23&lt;&gt;""),IF(E23="LONG",M23-I23,I23-M23),"")</f>
        <v/>
      </c>
      <c r="R23" s="21">
        <f>IF(AND(Q23&lt;&gt;"",I23&lt;&gt;"",J23&lt;&gt;""),Q23/ABS(I23-J23),"")</f>
        <v/>
      </c>
      <c r="S23" s="22">
        <f>IF(AND(R23&lt;&gt;"",K23&lt;&gt;""),R23*K23,"")</f>
        <v/>
      </c>
      <c r="T23" s="21">
        <f>IF(R23&lt;&gt;"",T22+R23,"")</f>
        <v/>
      </c>
      <c r="U23" s="19" t="n"/>
    </row>
    <row r="24" ht="15" customHeight="1" s="16">
      <c r="A24" s="18">
        <f>IF(B24="","",ROW()-1)</f>
        <v/>
      </c>
      <c r="B24" s="19" t="n"/>
      <c r="C24" s="19" t="n"/>
      <c r="D24" s="19" t="n"/>
      <c r="E24" s="19" t="n"/>
      <c r="F24" s="19" t="n"/>
      <c r="G24" s="19" t="n"/>
      <c r="H24" s="19" t="n"/>
      <c r="I24" s="20" t="n"/>
      <c r="J24" s="20" t="n"/>
      <c r="K24" s="20" t="n"/>
      <c r="L24" s="18">
        <f>IF(AND(I24&lt;&gt;"",J24&lt;&gt;"",K24&lt;&gt;""),ROUND(K24/ABS(I24-J24),0),"")</f>
        <v/>
      </c>
      <c r="M24" s="20" t="n"/>
      <c r="N24" s="19" t="n"/>
      <c r="O24" s="19" t="n"/>
      <c r="P24" s="19" t="n"/>
      <c r="Q24" s="21">
        <f>IF(AND(M24&lt;&gt;"",I24&lt;&gt;""),IF(E24="LONG",M24-I24,I24-M24),"")</f>
        <v/>
      </c>
      <c r="R24" s="21">
        <f>IF(AND(Q24&lt;&gt;"",I24&lt;&gt;"",J24&lt;&gt;""),Q24/ABS(I24-J24),"")</f>
        <v/>
      </c>
      <c r="S24" s="22">
        <f>IF(AND(R24&lt;&gt;"",K24&lt;&gt;""),R24*K24,"")</f>
        <v/>
      </c>
      <c r="T24" s="21">
        <f>IF(R24&lt;&gt;"",T23+R24,"")</f>
        <v/>
      </c>
      <c r="U24" s="19" t="n"/>
    </row>
    <row r="25" ht="15" customHeight="1" s="16">
      <c r="A25" s="18">
        <f>IF(B25="","",ROW()-1)</f>
        <v/>
      </c>
      <c r="B25" s="19" t="n"/>
      <c r="C25" s="19" t="n"/>
      <c r="D25" s="19" t="n"/>
      <c r="E25" s="19" t="n"/>
      <c r="F25" s="19" t="n"/>
      <c r="G25" s="19" t="n"/>
      <c r="H25" s="19" t="n"/>
      <c r="I25" s="20" t="n"/>
      <c r="J25" s="20" t="n"/>
      <c r="K25" s="20" t="n"/>
      <c r="L25" s="18">
        <f>IF(AND(I25&lt;&gt;"",J25&lt;&gt;"",K25&lt;&gt;""),ROUND(K25/ABS(I25-J25),0),"")</f>
        <v/>
      </c>
      <c r="M25" s="20" t="n"/>
      <c r="N25" s="19" t="n"/>
      <c r="O25" s="19" t="n"/>
      <c r="P25" s="19" t="n"/>
      <c r="Q25" s="21">
        <f>IF(AND(M25&lt;&gt;"",I25&lt;&gt;""),IF(E25="LONG",M25-I25,I25-M25),"")</f>
        <v/>
      </c>
      <c r="R25" s="21">
        <f>IF(AND(Q25&lt;&gt;"",I25&lt;&gt;"",J25&lt;&gt;""),Q25/ABS(I25-J25),"")</f>
        <v/>
      </c>
      <c r="S25" s="22">
        <f>IF(AND(R25&lt;&gt;"",K25&lt;&gt;""),R25*K25,"")</f>
        <v/>
      </c>
      <c r="T25" s="21">
        <f>IF(R25&lt;&gt;"",T24+R25,"")</f>
        <v/>
      </c>
      <c r="U25" s="19" t="n"/>
    </row>
    <row r="26" ht="15" customHeight="1" s="16">
      <c r="A26" s="18">
        <f>IF(B26="","",ROW()-1)</f>
        <v/>
      </c>
      <c r="B26" s="19" t="n"/>
      <c r="C26" s="19" t="n"/>
      <c r="D26" s="19" t="n"/>
      <c r="E26" s="19" t="n"/>
      <c r="F26" s="19" t="n"/>
      <c r="G26" s="19" t="n"/>
      <c r="H26" s="19" t="n"/>
      <c r="I26" s="20" t="n"/>
      <c r="J26" s="20" t="n"/>
      <c r="K26" s="20" t="n"/>
      <c r="L26" s="18">
        <f>IF(AND(I26&lt;&gt;"",J26&lt;&gt;"",K26&lt;&gt;""),ROUND(K26/ABS(I26-J26),0),"")</f>
        <v/>
      </c>
      <c r="M26" s="20" t="n"/>
      <c r="N26" s="19" t="n"/>
      <c r="O26" s="19" t="n"/>
      <c r="P26" s="19" t="n"/>
      <c r="Q26" s="21">
        <f>IF(AND(M26&lt;&gt;"",I26&lt;&gt;""),IF(E26="LONG",M26-I26,I26-M26),"")</f>
        <v/>
      </c>
      <c r="R26" s="21">
        <f>IF(AND(Q26&lt;&gt;"",I26&lt;&gt;"",J26&lt;&gt;""),Q26/ABS(I26-J26),"")</f>
        <v/>
      </c>
      <c r="S26" s="22">
        <f>IF(AND(R26&lt;&gt;"",K26&lt;&gt;""),R26*K26,"")</f>
        <v/>
      </c>
      <c r="T26" s="21">
        <f>IF(R26&lt;&gt;"",T25+R26,"")</f>
        <v/>
      </c>
      <c r="U26" s="19" t="n"/>
    </row>
    <row r="27" ht="15" customHeight="1" s="16">
      <c r="A27" s="18">
        <f>IF(B27="","",ROW()-1)</f>
        <v/>
      </c>
      <c r="B27" s="19" t="n"/>
      <c r="C27" s="19" t="n"/>
      <c r="D27" s="19" t="n"/>
      <c r="E27" s="19" t="n"/>
      <c r="F27" s="19" t="n"/>
      <c r="G27" s="19" t="n"/>
      <c r="H27" s="19" t="n"/>
      <c r="I27" s="20" t="n"/>
      <c r="J27" s="20" t="n"/>
      <c r="K27" s="20" t="n"/>
      <c r="L27" s="18">
        <f>IF(AND(I27&lt;&gt;"",J27&lt;&gt;"",K27&lt;&gt;""),ROUND(K27/ABS(I27-J27),0),"")</f>
        <v/>
      </c>
      <c r="M27" s="20" t="n"/>
      <c r="N27" s="19" t="n"/>
      <c r="O27" s="19" t="n"/>
      <c r="P27" s="19" t="n"/>
      <c r="Q27" s="21">
        <f>IF(AND(M27&lt;&gt;"",I27&lt;&gt;""),IF(E27="LONG",M27-I27,I27-M27),"")</f>
        <v/>
      </c>
      <c r="R27" s="21">
        <f>IF(AND(Q27&lt;&gt;"",I27&lt;&gt;"",J27&lt;&gt;""),Q27/ABS(I27-J27),"")</f>
        <v/>
      </c>
      <c r="S27" s="22">
        <f>IF(AND(R27&lt;&gt;"",K27&lt;&gt;""),R27*K27,"")</f>
        <v/>
      </c>
      <c r="T27" s="21">
        <f>IF(R27&lt;&gt;"",T26+R27,"")</f>
        <v/>
      </c>
      <c r="U27" s="19" t="n"/>
    </row>
    <row r="28" ht="15" customHeight="1" s="16">
      <c r="A28" s="18">
        <f>IF(B28="","",ROW()-1)</f>
        <v/>
      </c>
      <c r="B28" s="19" t="n"/>
      <c r="C28" s="19" t="n"/>
      <c r="D28" s="19" t="n"/>
      <c r="E28" s="19" t="n"/>
      <c r="F28" s="19" t="n"/>
      <c r="G28" s="19" t="n"/>
      <c r="H28" s="19" t="n"/>
      <c r="I28" s="20" t="n"/>
      <c r="J28" s="20" t="n"/>
      <c r="K28" s="20" t="n"/>
      <c r="L28" s="18">
        <f>IF(AND(I28&lt;&gt;"",J28&lt;&gt;"",K28&lt;&gt;""),ROUND(K28/ABS(I28-J28),0),"")</f>
        <v/>
      </c>
      <c r="M28" s="20" t="n"/>
      <c r="N28" s="19" t="n"/>
      <c r="O28" s="19" t="n"/>
      <c r="P28" s="19" t="n"/>
      <c r="Q28" s="21">
        <f>IF(AND(M28&lt;&gt;"",I28&lt;&gt;""),IF(E28="LONG",M28-I28,I28-M28),"")</f>
        <v/>
      </c>
      <c r="R28" s="21">
        <f>IF(AND(Q28&lt;&gt;"",I28&lt;&gt;"",J28&lt;&gt;""),Q28/ABS(I28-J28),"")</f>
        <v/>
      </c>
      <c r="S28" s="22">
        <f>IF(AND(R28&lt;&gt;"",K28&lt;&gt;""),R28*K28,"")</f>
        <v/>
      </c>
      <c r="T28" s="21">
        <f>IF(R28&lt;&gt;"",T27+R28,"")</f>
        <v/>
      </c>
      <c r="U28" s="19" t="n"/>
    </row>
    <row r="29" ht="15" customHeight="1" s="16">
      <c r="A29" s="18">
        <f>IF(B29="","",ROW()-1)</f>
        <v/>
      </c>
      <c r="B29" s="19" t="n"/>
      <c r="C29" s="19" t="n"/>
      <c r="D29" s="19" t="n"/>
      <c r="E29" s="19" t="n"/>
      <c r="F29" s="19" t="n"/>
      <c r="G29" s="19" t="n"/>
      <c r="H29" s="19" t="n"/>
      <c r="I29" s="20" t="n"/>
      <c r="J29" s="20" t="n"/>
      <c r="K29" s="20" t="n"/>
      <c r="L29" s="18">
        <f>IF(AND(I29&lt;&gt;"",J29&lt;&gt;"",K29&lt;&gt;""),ROUND(K29/ABS(I29-J29),0),"")</f>
        <v/>
      </c>
      <c r="M29" s="20" t="n"/>
      <c r="N29" s="19" t="n"/>
      <c r="O29" s="19" t="n"/>
      <c r="P29" s="19" t="n"/>
      <c r="Q29" s="21">
        <f>IF(AND(M29&lt;&gt;"",I29&lt;&gt;""),IF(E29="LONG",M29-I29,I29-M29),"")</f>
        <v/>
      </c>
      <c r="R29" s="21">
        <f>IF(AND(Q29&lt;&gt;"",I29&lt;&gt;"",J29&lt;&gt;""),Q29/ABS(I29-J29),"")</f>
        <v/>
      </c>
      <c r="S29" s="22">
        <f>IF(AND(R29&lt;&gt;"",K29&lt;&gt;""),R29*K29,"")</f>
        <v/>
      </c>
      <c r="T29" s="21">
        <f>IF(R29&lt;&gt;"",T28+R29,"")</f>
        <v/>
      </c>
      <c r="U29" s="19" t="n"/>
    </row>
    <row r="30" ht="15" customHeight="1" s="16">
      <c r="A30" s="18">
        <f>IF(B30="","",ROW()-1)</f>
        <v/>
      </c>
      <c r="B30" s="19" t="n"/>
      <c r="C30" s="19" t="n"/>
      <c r="D30" s="19" t="n"/>
      <c r="E30" s="19" t="n"/>
      <c r="F30" s="19" t="n"/>
      <c r="G30" s="19" t="n"/>
      <c r="H30" s="19" t="n"/>
      <c r="I30" s="20" t="n"/>
      <c r="J30" s="20" t="n"/>
      <c r="K30" s="20" t="n"/>
      <c r="L30" s="18">
        <f>IF(AND(I30&lt;&gt;"",J30&lt;&gt;"",K30&lt;&gt;""),ROUND(K30/ABS(I30-J30),0),"")</f>
        <v/>
      </c>
      <c r="M30" s="20" t="n"/>
      <c r="N30" s="19" t="n"/>
      <c r="O30" s="19" t="n"/>
      <c r="P30" s="19" t="n"/>
      <c r="Q30" s="21">
        <f>IF(AND(M30&lt;&gt;"",I30&lt;&gt;""),IF(E30="LONG",M30-I30,I30-M30),"")</f>
        <v/>
      </c>
      <c r="R30" s="21">
        <f>IF(AND(Q30&lt;&gt;"",I30&lt;&gt;"",J30&lt;&gt;""),Q30/ABS(I30-J30),"")</f>
        <v/>
      </c>
      <c r="S30" s="22">
        <f>IF(AND(R30&lt;&gt;"",K30&lt;&gt;""),R30*K30,"")</f>
        <v/>
      </c>
      <c r="T30" s="21">
        <f>IF(R30&lt;&gt;"",T29+R30,"")</f>
        <v/>
      </c>
      <c r="U30" s="19" t="n"/>
    </row>
    <row r="31" ht="15" customHeight="1" s="16">
      <c r="A31" s="18">
        <f>IF(B31="","",ROW()-1)</f>
        <v/>
      </c>
      <c r="B31" s="19" t="n"/>
      <c r="C31" s="19" t="n"/>
      <c r="D31" s="19" t="n"/>
      <c r="E31" s="19" t="n"/>
      <c r="F31" s="19" t="n"/>
      <c r="G31" s="19" t="n"/>
      <c r="H31" s="19" t="n"/>
      <c r="I31" s="20" t="n"/>
      <c r="J31" s="20" t="n"/>
      <c r="K31" s="20" t="n"/>
      <c r="L31" s="18">
        <f>IF(AND(I31&lt;&gt;"",J31&lt;&gt;"",K31&lt;&gt;""),ROUND(K31/ABS(I31-J31),0),"")</f>
        <v/>
      </c>
      <c r="M31" s="20" t="n"/>
      <c r="N31" s="19" t="n"/>
      <c r="O31" s="19" t="n"/>
      <c r="P31" s="19" t="n"/>
      <c r="Q31" s="21">
        <f>IF(AND(M31&lt;&gt;"",I31&lt;&gt;""),IF(E31="LONG",M31-I31,I31-M31),"")</f>
        <v/>
      </c>
      <c r="R31" s="21">
        <f>IF(AND(Q31&lt;&gt;"",I31&lt;&gt;"",J31&lt;&gt;""),Q31/ABS(I31-J31),"")</f>
        <v/>
      </c>
      <c r="S31" s="22">
        <f>IF(AND(R31&lt;&gt;"",K31&lt;&gt;""),R31*K31,"")</f>
        <v/>
      </c>
      <c r="T31" s="21">
        <f>IF(R31&lt;&gt;"",T30+R31,"")</f>
        <v/>
      </c>
      <c r="U31" s="19" t="n"/>
    </row>
    <row r="32" ht="15" customHeight="1" s="16">
      <c r="A32" s="18">
        <f>IF(B32="","",ROW()-1)</f>
        <v/>
      </c>
      <c r="B32" s="19" t="n"/>
      <c r="C32" s="19" t="n"/>
      <c r="D32" s="19" t="n"/>
      <c r="E32" s="19" t="n"/>
      <c r="F32" s="19" t="n"/>
      <c r="G32" s="19" t="n"/>
      <c r="H32" s="19" t="n"/>
      <c r="I32" s="20" t="n"/>
      <c r="J32" s="20" t="n"/>
      <c r="K32" s="20" t="n"/>
      <c r="L32" s="18">
        <f>IF(AND(I32&lt;&gt;"",J32&lt;&gt;"",K32&lt;&gt;""),ROUND(K32/ABS(I32-J32),0),"")</f>
        <v/>
      </c>
      <c r="M32" s="20" t="n"/>
      <c r="N32" s="19" t="n"/>
      <c r="O32" s="19" t="n"/>
      <c r="P32" s="19" t="n"/>
      <c r="Q32" s="21">
        <f>IF(AND(M32&lt;&gt;"",I32&lt;&gt;""),IF(E32="LONG",M32-I32,I32-M32),"")</f>
        <v/>
      </c>
      <c r="R32" s="21">
        <f>IF(AND(Q32&lt;&gt;"",I32&lt;&gt;"",J32&lt;&gt;""),Q32/ABS(I32-J32),"")</f>
        <v/>
      </c>
      <c r="S32" s="22">
        <f>IF(AND(R32&lt;&gt;"",K32&lt;&gt;""),R32*K32,"")</f>
        <v/>
      </c>
      <c r="T32" s="21">
        <f>IF(R32&lt;&gt;"",T31+R32,"")</f>
        <v/>
      </c>
      <c r="U32" s="19" t="n"/>
    </row>
    <row r="33" ht="15" customHeight="1" s="16">
      <c r="A33" s="18">
        <f>IF(B33="","",ROW()-1)</f>
        <v/>
      </c>
      <c r="B33" s="19" t="n"/>
      <c r="C33" s="19" t="n"/>
      <c r="D33" s="19" t="n"/>
      <c r="E33" s="19" t="n"/>
      <c r="F33" s="19" t="n"/>
      <c r="G33" s="19" t="n"/>
      <c r="H33" s="19" t="n"/>
      <c r="I33" s="20" t="n"/>
      <c r="J33" s="20" t="n"/>
      <c r="K33" s="20" t="n"/>
      <c r="L33" s="18">
        <f>IF(AND(I33&lt;&gt;"",J33&lt;&gt;"",K33&lt;&gt;""),ROUND(K33/ABS(I33-J33),0),"")</f>
        <v/>
      </c>
      <c r="M33" s="20" t="n"/>
      <c r="N33" s="19" t="n"/>
      <c r="O33" s="19" t="n"/>
      <c r="P33" s="19" t="n"/>
      <c r="Q33" s="21">
        <f>IF(AND(M33&lt;&gt;"",I33&lt;&gt;""),IF(E33="LONG",M33-I33,I33-M33),"")</f>
        <v/>
      </c>
      <c r="R33" s="21">
        <f>IF(AND(Q33&lt;&gt;"",I33&lt;&gt;"",J33&lt;&gt;""),Q33/ABS(I33-J33),"")</f>
        <v/>
      </c>
      <c r="S33" s="22">
        <f>IF(AND(R33&lt;&gt;"",K33&lt;&gt;""),R33*K33,"")</f>
        <v/>
      </c>
      <c r="T33" s="21">
        <f>IF(R33&lt;&gt;"",T32+R33,"")</f>
        <v/>
      </c>
      <c r="U33" s="19" t="n"/>
    </row>
    <row r="34" ht="15" customHeight="1" s="16">
      <c r="A34" s="18">
        <f>IF(B34="","",ROW()-1)</f>
        <v/>
      </c>
      <c r="B34" s="19" t="n"/>
      <c r="C34" s="19" t="n"/>
      <c r="D34" s="19" t="n"/>
      <c r="E34" s="19" t="n"/>
      <c r="F34" s="19" t="n"/>
      <c r="G34" s="19" t="n"/>
      <c r="H34" s="19" t="n"/>
      <c r="I34" s="20" t="n"/>
      <c r="J34" s="20" t="n"/>
      <c r="K34" s="20" t="n"/>
      <c r="L34" s="18">
        <f>IF(AND(I34&lt;&gt;"",J34&lt;&gt;"",K34&lt;&gt;""),ROUND(K34/ABS(I34-J34),0),"")</f>
        <v/>
      </c>
      <c r="M34" s="20" t="n"/>
      <c r="N34" s="19" t="n"/>
      <c r="O34" s="19" t="n"/>
      <c r="P34" s="19" t="n"/>
      <c r="Q34" s="21">
        <f>IF(AND(M34&lt;&gt;"",I34&lt;&gt;""),IF(E34="LONG",M34-I34,I34-M34),"")</f>
        <v/>
      </c>
      <c r="R34" s="21">
        <f>IF(AND(Q34&lt;&gt;"",I34&lt;&gt;"",J34&lt;&gt;""),Q34/ABS(I34-J34),"")</f>
        <v/>
      </c>
      <c r="S34" s="22">
        <f>IF(AND(R34&lt;&gt;"",K34&lt;&gt;""),R34*K34,"")</f>
        <v/>
      </c>
      <c r="T34" s="21">
        <f>IF(R34&lt;&gt;"",T33+R34,"")</f>
        <v/>
      </c>
      <c r="U34" s="19" t="n"/>
    </row>
    <row r="35" ht="15" customHeight="1" s="16">
      <c r="A35" s="18">
        <f>IF(B35="","",ROW()-1)</f>
        <v/>
      </c>
      <c r="B35" s="19" t="n"/>
      <c r="C35" s="19" t="n"/>
      <c r="D35" s="19" t="n"/>
      <c r="E35" s="19" t="n"/>
      <c r="F35" s="19" t="n"/>
      <c r="G35" s="19" t="n"/>
      <c r="H35" s="19" t="n"/>
      <c r="I35" s="20" t="n"/>
      <c r="J35" s="20" t="n"/>
      <c r="K35" s="20" t="n"/>
      <c r="L35" s="18">
        <f>IF(AND(I35&lt;&gt;"",J35&lt;&gt;"",K35&lt;&gt;""),ROUND(K35/ABS(I35-J35),0),"")</f>
        <v/>
      </c>
      <c r="M35" s="20" t="n"/>
      <c r="N35" s="19" t="n"/>
      <c r="O35" s="19" t="n"/>
      <c r="P35" s="19" t="n"/>
      <c r="Q35" s="21">
        <f>IF(AND(M35&lt;&gt;"",I35&lt;&gt;""),IF(E35="LONG",M35-I35,I35-M35),"")</f>
        <v/>
      </c>
      <c r="R35" s="21">
        <f>IF(AND(Q35&lt;&gt;"",I35&lt;&gt;"",J35&lt;&gt;""),Q35/ABS(I35-J35),"")</f>
        <v/>
      </c>
      <c r="S35" s="22">
        <f>IF(AND(R35&lt;&gt;"",K35&lt;&gt;""),R35*K35,"")</f>
        <v/>
      </c>
      <c r="T35" s="21">
        <f>IF(R35&lt;&gt;"",T34+R35,"")</f>
        <v/>
      </c>
      <c r="U35" s="19" t="n"/>
    </row>
    <row r="36" ht="15" customHeight="1" s="16">
      <c r="A36" s="18">
        <f>IF(B36="","",ROW()-1)</f>
        <v/>
      </c>
      <c r="B36" s="19" t="n"/>
      <c r="C36" s="19" t="n"/>
      <c r="D36" s="19" t="n"/>
      <c r="E36" s="19" t="n"/>
      <c r="F36" s="19" t="n"/>
      <c r="G36" s="19" t="n"/>
      <c r="H36" s="19" t="n"/>
      <c r="I36" s="20" t="n"/>
      <c r="J36" s="20" t="n"/>
      <c r="K36" s="20" t="n"/>
      <c r="L36" s="18">
        <f>IF(AND(I36&lt;&gt;"",J36&lt;&gt;"",K36&lt;&gt;""),ROUND(K36/ABS(I36-J36),0),"")</f>
        <v/>
      </c>
      <c r="M36" s="20" t="n"/>
      <c r="N36" s="19" t="n"/>
      <c r="O36" s="19" t="n"/>
      <c r="P36" s="19" t="n"/>
      <c r="Q36" s="21">
        <f>IF(AND(M36&lt;&gt;"",I36&lt;&gt;""),IF(E36="LONG",M36-I36,I36-M36),"")</f>
        <v/>
      </c>
      <c r="R36" s="21">
        <f>IF(AND(Q36&lt;&gt;"",I36&lt;&gt;"",J36&lt;&gt;""),Q36/ABS(I36-J36),"")</f>
        <v/>
      </c>
      <c r="S36" s="22">
        <f>IF(AND(R36&lt;&gt;"",K36&lt;&gt;""),R36*K36,"")</f>
        <v/>
      </c>
      <c r="T36" s="21">
        <f>IF(R36&lt;&gt;"",T35+R36,"")</f>
        <v/>
      </c>
      <c r="U36" s="19" t="n"/>
    </row>
    <row r="37" ht="15" customHeight="1" s="16">
      <c r="A37" s="18">
        <f>IF(B37="","",ROW()-1)</f>
        <v/>
      </c>
      <c r="B37" s="19" t="n"/>
      <c r="C37" s="19" t="n"/>
      <c r="D37" s="19" t="n"/>
      <c r="E37" s="19" t="n"/>
      <c r="F37" s="19" t="n"/>
      <c r="G37" s="19" t="n"/>
      <c r="H37" s="19" t="n"/>
      <c r="I37" s="20" t="n"/>
      <c r="J37" s="20" t="n"/>
      <c r="K37" s="20" t="n"/>
      <c r="L37" s="18">
        <f>IF(AND(I37&lt;&gt;"",J37&lt;&gt;"",K37&lt;&gt;""),ROUND(K37/ABS(I37-J37),0),"")</f>
        <v/>
      </c>
      <c r="M37" s="20" t="n"/>
      <c r="N37" s="19" t="n"/>
      <c r="O37" s="19" t="n"/>
      <c r="P37" s="19" t="n"/>
      <c r="Q37" s="21">
        <f>IF(AND(M37&lt;&gt;"",I37&lt;&gt;""),IF(E37="LONG",M37-I37,I37-M37),"")</f>
        <v/>
      </c>
      <c r="R37" s="21">
        <f>IF(AND(Q37&lt;&gt;"",I37&lt;&gt;"",J37&lt;&gt;""),Q37/ABS(I37-J37),"")</f>
        <v/>
      </c>
      <c r="S37" s="22">
        <f>IF(AND(R37&lt;&gt;"",K37&lt;&gt;""),R37*K37,"")</f>
        <v/>
      </c>
      <c r="T37" s="21">
        <f>IF(R37&lt;&gt;"",T36+R37,"")</f>
        <v/>
      </c>
      <c r="U37" s="19" t="n"/>
    </row>
    <row r="38" ht="15" customHeight="1" s="16">
      <c r="A38" s="18">
        <f>IF(B38="","",ROW()-1)</f>
        <v/>
      </c>
      <c r="B38" s="19" t="n"/>
      <c r="C38" s="19" t="n"/>
      <c r="D38" s="19" t="n"/>
      <c r="E38" s="19" t="n"/>
      <c r="F38" s="19" t="n"/>
      <c r="G38" s="19" t="n"/>
      <c r="H38" s="19" t="n"/>
      <c r="I38" s="20" t="n"/>
      <c r="J38" s="20" t="n"/>
      <c r="K38" s="20" t="n"/>
      <c r="L38" s="18">
        <f>IF(AND(I38&lt;&gt;"",J38&lt;&gt;"",K38&lt;&gt;""),ROUND(K38/ABS(I38-J38),0),"")</f>
        <v/>
      </c>
      <c r="M38" s="20" t="n"/>
      <c r="N38" s="19" t="n"/>
      <c r="O38" s="19" t="n"/>
      <c r="P38" s="19" t="n"/>
      <c r="Q38" s="21">
        <f>IF(AND(M38&lt;&gt;"",I38&lt;&gt;""),IF(E38="LONG",M38-I38,I38-M38),"")</f>
        <v/>
      </c>
      <c r="R38" s="21">
        <f>IF(AND(Q38&lt;&gt;"",I38&lt;&gt;"",J38&lt;&gt;""),Q38/ABS(I38-J38),"")</f>
        <v/>
      </c>
      <c r="S38" s="22">
        <f>IF(AND(R38&lt;&gt;"",K38&lt;&gt;""),R38*K38,"")</f>
        <v/>
      </c>
      <c r="T38" s="21">
        <f>IF(R38&lt;&gt;"",T37+R38,"")</f>
        <v/>
      </c>
      <c r="U38" s="19" t="n"/>
    </row>
    <row r="39" ht="15" customHeight="1" s="16">
      <c r="A39" s="18">
        <f>IF(B39="","",ROW()-1)</f>
        <v/>
      </c>
      <c r="B39" s="19" t="n"/>
      <c r="C39" s="19" t="n"/>
      <c r="D39" s="19" t="n"/>
      <c r="E39" s="19" t="n"/>
      <c r="F39" s="19" t="n"/>
      <c r="G39" s="19" t="n"/>
      <c r="H39" s="19" t="n"/>
      <c r="I39" s="20" t="n"/>
      <c r="J39" s="20" t="n"/>
      <c r="K39" s="20" t="n"/>
      <c r="L39" s="18">
        <f>IF(AND(I39&lt;&gt;"",J39&lt;&gt;"",K39&lt;&gt;""),ROUND(K39/ABS(I39-J39),0),"")</f>
        <v/>
      </c>
      <c r="M39" s="20" t="n"/>
      <c r="N39" s="19" t="n"/>
      <c r="O39" s="19" t="n"/>
      <c r="P39" s="19" t="n"/>
      <c r="Q39" s="21">
        <f>IF(AND(M39&lt;&gt;"",I39&lt;&gt;""),IF(E39="LONG",M39-I39,I39-M39),"")</f>
        <v/>
      </c>
      <c r="R39" s="21">
        <f>IF(AND(Q39&lt;&gt;"",I39&lt;&gt;"",J39&lt;&gt;""),Q39/ABS(I39-J39),"")</f>
        <v/>
      </c>
      <c r="S39" s="22">
        <f>IF(AND(R39&lt;&gt;"",K39&lt;&gt;""),R39*K39,"")</f>
        <v/>
      </c>
      <c r="T39" s="21">
        <f>IF(R39&lt;&gt;"",T38+R39,"")</f>
        <v/>
      </c>
      <c r="U39" s="19" t="n"/>
    </row>
    <row r="40" ht="15" customHeight="1" s="16">
      <c r="A40" s="18">
        <f>IF(B40="","",ROW()-1)</f>
        <v/>
      </c>
      <c r="B40" s="19" t="n"/>
      <c r="C40" s="19" t="n"/>
      <c r="D40" s="19" t="n"/>
      <c r="E40" s="19" t="n"/>
      <c r="F40" s="19" t="n"/>
      <c r="G40" s="19" t="n"/>
      <c r="H40" s="19" t="n"/>
      <c r="I40" s="20" t="n"/>
      <c r="J40" s="20" t="n"/>
      <c r="K40" s="20" t="n"/>
      <c r="L40" s="18">
        <f>IF(AND(I40&lt;&gt;"",J40&lt;&gt;"",K40&lt;&gt;""),ROUND(K40/ABS(I40-J40),0),"")</f>
        <v/>
      </c>
      <c r="M40" s="20" t="n"/>
      <c r="N40" s="19" t="n"/>
      <c r="O40" s="19" t="n"/>
      <c r="P40" s="19" t="n"/>
      <c r="Q40" s="21">
        <f>IF(AND(M40&lt;&gt;"",I40&lt;&gt;""),IF(E40="LONG",M40-I40,I40-M40),"")</f>
        <v/>
      </c>
      <c r="R40" s="21">
        <f>IF(AND(Q40&lt;&gt;"",I40&lt;&gt;"",J40&lt;&gt;""),Q40/ABS(I40-J40),"")</f>
        <v/>
      </c>
      <c r="S40" s="22">
        <f>IF(AND(R40&lt;&gt;"",K40&lt;&gt;""),R40*K40,"")</f>
        <v/>
      </c>
      <c r="T40" s="21">
        <f>IF(R40&lt;&gt;"",T39+R40,"")</f>
        <v/>
      </c>
      <c r="U40" s="19" t="n"/>
    </row>
    <row r="41" ht="15" customHeight="1" s="16">
      <c r="A41" s="18">
        <f>IF(B41="","",ROW()-1)</f>
        <v/>
      </c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20" t="n"/>
      <c r="L41" s="18">
        <f>IF(AND(I41&lt;&gt;"",J41&lt;&gt;"",K41&lt;&gt;""),ROUND(K41/ABS(I41-J41),0),"")</f>
        <v/>
      </c>
      <c r="M41" s="20" t="n"/>
      <c r="N41" s="19" t="n"/>
      <c r="O41" s="19" t="n"/>
      <c r="P41" s="19" t="n"/>
      <c r="Q41" s="21">
        <f>IF(AND(M41&lt;&gt;"",I41&lt;&gt;""),IF(E41="LONG",M41-I41,I41-M41),"")</f>
        <v/>
      </c>
      <c r="R41" s="21">
        <f>IF(AND(Q41&lt;&gt;"",I41&lt;&gt;"",J41&lt;&gt;""),Q41/ABS(I41-J41),"")</f>
        <v/>
      </c>
      <c r="S41" s="22">
        <f>IF(AND(R41&lt;&gt;"",K41&lt;&gt;""),R41*K41,"")</f>
        <v/>
      </c>
      <c r="T41" s="21">
        <f>IF(R41&lt;&gt;"",T40+R41,"")</f>
        <v/>
      </c>
      <c r="U41" s="19" t="n"/>
    </row>
    <row r="42" ht="15" customHeight="1" s="16">
      <c r="A42" s="18">
        <f>IF(B42="","",ROW()-1)</f>
        <v/>
      </c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20" t="n"/>
      <c r="L42" s="18">
        <f>IF(AND(I42&lt;&gt;"",J42&lt;&gt;"",K42&lt;&gt;""),ROUND(K42/ABS(I42-J42),0),"")</f>
        <v/>
      </c>
      <c r="M42" s="20" t="n"/>
      <c r="N42" s="19" t="n"/>
      <c r="O42" s="19" t="n"/>
      <c r="P42" s="19" t="n"/>
      <c r="Q42" s="21">
        <f>IF(AND(M42&lt;&gt;"",I42&lt;&gt;""),IF(E42="LONG",M42-I42,I42-M42),"")</f>
        <v/>
      </c>
      <c r="R42" s="21">
        <f>IF(AND(Q42&lt;&gt;"",I42&lt;&gt;"",J42&lt;&gt;""),Q42/ABS(I42-J42),"")</f>
        <v/>
      </c>
      <c r="S42" s="22">
        <f>IF(AND(R42&lt;&gt;"",K42&lt;&gt;""),R42*K42,"")</f>
        <v/>
      </c>
      <c r="T42" s="21">
        <f>IF(R42&lt;&gt;"",T41+R42,"")</f>
        <v/>
      </c>
      <c r="U42" s="19" t="n"/>
    </row>
    <row r="43" ht="15" customHeight="1" s="16">
      <c r="A43" s="18">
        <f>IF(B43="","",ROW()-1)</f>
        <v/>
      </c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20" t="n"/>
      <c r="L43" s="18">
        <f>IF(AND(I43&lt;&gt;"",J43&lt;&gt;"",K43&lt;&gt;""),ROUND(K43/ABS(I43-J43),0),"")</f>
        <v/>
      </c>
      <c r="M43" s="20" t="n"/>
      <c r="N43" s="19" t="n"/>
      <c r="O43" s="19" t="n"/>
      <c r="P43" s="19" t="n"/>
      <c r="Q43" s="21">
        <f>IF(AND(M43&lt;&gt;"",I43&lt;&gt;""),IF(E43="LONG",M43-I43,I43-M43),"")</f>
        <v/>
      </c>
      <c r="R43" s="21">
        <f>IF(AND(Q43&lt;&gt;"",I43&lt;&gt;"",J43&lt;&gt;""),Q43/ABS(I43-J43),"")</f>
        <v/>
      </c>
      <c r="S43" s="22">
        <f>IF(AND(R43&lt;&gt;"",K43&lt;&gt;""),R43*K43,"")</f>
        <v/>
      </c>
      <c r="T43" s="21">
        <f>IF(R43&lt;&gt;"",T42+R43,"")</f>
        <v/>
      </c>
      <c r="U43" s="19" t="n"/>
    </row>
    <row r="44" ht="15" customHeight="1" s="16">
      <c r="A44" s="18">
        <f>IF(B44="","",ROW()-1)</f>
        <v/>
      </c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20" t="n"/>
      <c r="L44" s="18">
        <f>IF(AND(I44&lt;&gt;"",J44&lt;&gt;"",K44&lt;&gt;""),ROUND(K44/ABS(I44-J44),0),"")</f>
        <v/>
      </c>
      <c r="M44" s="20" t="n"/>
      <c r="N44" s="19" t="n"/>
      <c r="O44" s="19" t="n"/>
      <c r="P44" s="19" t="n"/>
      <c r="Q44" s="21">
        <f>IF(AND(M44&lt;&gt;"",I44&lt;&gt;""),IF(E44="LONG",M44-I44,I44-M44),"")</f>
        <v/>
      </c>
      <c r="R44" s="21">
        <f>IF(AND(Q44&lt;&gt;"",I44&lt;&gt;"",J44&lt;&gt;""),Q44/ABS(I44-J44),"")</f>
        <v/>
      </c>
      <c r="S44" s="22">
        <f>IF(AND(R44&lt;&gt;"",K44&lt;&gt;""),R44*K44,"")</f>
        <v/>
      </c>
      <c r="T44" s="21">
        <f>IF(R44&lt;&gt;"",T43+R44,"")</f>
        <v/>
      </c>
      <c r="U44" s="19" t="n"/>
    </row>
    <row r="45" ht="15" customHeight="1" s="16">
      <c r="A45" s="18">
        <f>IF(B45="","",ROW()-1)</f>
        <v/>
      </c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20" t="n"/>
      <c r="L45" s="18">
        <f>IF(AND(I45&lt;&gt;"",J45&lt;&gt;"",K45&lt;&gt;""),ROUND(K45/ABS(I45-J45),0),"")</f>
        <v/>
      </c>
      <c r="M45" s="20" t="n"/>
      <c r="N45" s="19" t="n"/>
      <c r="O45" s="19" t="n"/>
      <c r="P45" s="19" t="n"/>
      <c r="Q45" s="21">
        <f>IF(AND(M45&lt;&gt;"",I45&lt;&gt;""),IF(E45="LONG",M45-I45,I45-M45),"")</f>
        <v/>
      </c>
      <c r="R45" s="21">
        <f>IF(AND(Q45&lt;&gt;"",I45&lt;&gt;"",J45&lt;&gt;""),Q45/ABS(I45-J45),"")</f>
        <v/>
      </c>
      <c r="S45" s="22">
        <f>IF(AND(R45&lt;&gt;"",K45&lt;&gt;""),R45*K45,"")</f>
        <v/>
      </c>
      <c r="T45" s="21">
        <f>IF(R45&lt;&gt;"",T44+R45,"")</f>
        <v/>
      </c>
      <c r="U45" s="19" t="n"/>
    </row>
    <row r="46" ht="15" customHeight="1" s="16">
      <c r="A46" s="18">
        <f>IF(B46="","",ROW()-1)</f>
        <v/>
      </c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20" t="n"/>
      <c r="L46" s="18">
        <f>IF(AND(I46&lt;&gt;"",J46&lt;&gt;"",K46&lt;&gt;""),ROUND(K46/ABS(I46-J46),0),"")</f>
        <v/>
      </c>
      <c r="M46" s="20" t="n"/>
      <c r="N46" s="19" t="n"/>
      <c r="O46" s="19" t="n"/>
      <c r="P46" s="19" t="n"/>
      <c r="Q46" s="21">
        <f>IF(AND(M46&lt;&gt;"",I46&lt;&gt;""),IF(E46="LONG",M46-I46,I46-M46),"")</f>
        <v/>
      </c>
      <c r="R46" s="21">
        <f>IF(AND(Q46&lt;&gt;"",I46&lt;&gt;"",J46&lt;&gt;""),Q46/ABS(I46-J46),"")</f>
        <v/>
      </c>
      <c r="S46" s="22">
        <f>IF(AND(R46&lt;&gt;"",K46&lt;&gt;""),R46*K46,"")</f>
        <v/>
      </c>
      <c r="T46" s="21">
        <f>IF(R46&lt;&gt;"",T45+R46,"")</f>
        <v/>
      </c>
      <c r="U46" s="19" t="n"/>
    </row>
    <row r="47" ht="15" customHeight="1" s="16">
      <c r="A47" s="18">
        <f>IF(B47="","",ROW()-1)</f>
        <v/>
      </c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20" t="n"/>
      <c r="L47" s="18">
        <f>IF(AND(I47&lt;&gt;"",J47&lt;&gt;"",K47&lt;&gt;""),ROUND(K47/ABS(I47-J47),0),"")</f>
        <v/>
      </c>
      <c r="M47" s="20" t="n"/>
      <c r="N47" s="19" t="n"/>
      <c r="O47" s="19" t="n"/>
      <c r="P47" s="19" t="n"/>
      <c r="Q47" s="21">
        <f>IF(AND(M47&lt;&gt;"",I47&lt;&gt;""),IF(E47="LONG",M47-I47,I47-M47),"")</f>
        <v/>
      </c>
      <c r="R47" s="21">
        <f>IF(AND(Q47&lt;&gt;"",I47&lt;&gt;"",J47&lt;&gt;""),Q47/ABS(I47-J47),"")</f>
        <v/>
      </c>
      <c r="S47" s="22">
        <f>IF(AND(R47&lt;&gt;"",K47&lt;&gt;""),R47*K47,"")</f>
        <v/>
      </c>
      <c r="T47" s="21">
        <f>IF(R47&lt;&gt;"",T46+R47,"")</f>
        <v/>
      </c>
      <c r="U47" s="19" t="n"/>
    </row>
    <row r="48" ht="15" customHeight="1" s="16">
      <c r="A48" s="18">
        <f>IF(B48="","",ROW()-1)</f>
        <v/>
      </c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20" t="n"/>
      <c r="L48" s="18">
        <f>IF(AND(I48&lt;&gt;"",J48&lt;&gt;"",K48&lt;&gt;""),ROUND(K48/ABS(I48-J48),0),"")</f>
        <v/>
      </c>
      <c r="M48" s="20" t="n"/>
      <c r="N48" s="19" t="n"/>
      <c r="O48" s="19" t="n"/>
      <c r="P48" s="19" t="n"/>
      <c r="Q48" s="21">
        <f>IF(AND(M48&lt;&gt;"",I48&lt;&gt;""),IF(E48="LONG",M48-I48,I48-M48),"")</f>
        <v/>
      </c>
      <c r="R48" s="21">
        <f>IF(AND(Q48&lt;&gt;"",I48&lt;&gt;"",J48&lt;&gt;""),Q48/ABS(I48-J48),"")</f>
        <v/>
      </c>
      <c r="S48" s="22">
        <f>IF(AND(R48&lt;&gt;"",K48&lt;&gt;""),R48*K48,"")</f>
        <v/>
      </c>
      <c r="T48" s="21">
        <f>IF(R48&lt;&gt;"",T47+R48,"")</f>
        <v/>
      </c>
      <c r="U48" s="19" t="n"/>
    </row>
    <row r="49" ht="15" customHeight="1" s="16">
      <c r="A49" s="18">
        <f>IF(B49="","",ROW()-1)</f>
        <v/>
      </c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20" t="n"/>
      <c r="L49" s="18">
        <f>IF(AND(I49&lt;&gt;"",J49&lt;&gt;"",K49&lt;&gt;""),ROUND(K49/ABS(I49-J49),0),"")</f>
        <v/>
      </c>
      <c r="M49" s="20" t="n"/>
      <c r="N49" s="19" t="n"/>
      <c r="O49" s="19" t="n"/>
      <c r="P49" s="19" t="n"/>
      <c r="Q49" s="21">
        <f>IF(AND(M49&lt;&gt;"",I49&lt;&gt;""),IF(E49="LONG",M49-I49,I49-M49),"")</f>
        <v/>
      </c>
      <c r="R49" s="21">
        <f>IF(AND(Q49&lt;&gt;"",I49&lt;&gt;"",J49&lt;&gt;""),Q49/ABS(I49-J49),"")</f>
        <v/>
      </c>
      <c r="S49" s="22">
        <f>IF(AND(R49&lt;&gt;"",K49&lt;&gt;""),R49*K49,"")</f>
        <v/>
      </c>
      <c r="T49" s="21">
        <f>IF(R49&lt;&gt;"",T48+R49,"")</f>
        <v/>
      </c>
      <c r="U49" s="19" t="n"/>
    </row>
    <row r="50" ht="15" customHeight="1" s="16">
      <c r="A50" s="18">
        <f>IF(B50="","",ROW()-1)</f>
        <v/>
      </c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20" t="n"/>
      <c r="L50" s="18">
        <f>IF(AND(I50&lt;&gt;"",J50&lt;&gt;"",K50&lt;&gt;""),ROUND(K50/ABS(I50-J50),0),"")</f>
        <v/>
      </c>
      <c r="M50" s="20" t="n"/>
      <c r="N50" s="19" t="n"/>
      <c r="O50" s="19" t="n"/>
      <c r="P50" s="19" t="n"/>
      <c r="Q50" s="21">
        <f>IF(AND(M50&lt;&gt;"",I50&lt;&gt;""),IF(E50="LONG",M50-I50,I50-M50),"")</f>
        <v/>
      </c>
      <c r="R50" s="21">
        <f>IF(AND(Q50&lt;&gt;"",I50&lt;&gt;"",J50&lt;&gt;""),Q50/ABS(I50-J50),"")</f>
        <v/>
      </c>
      <c r="S50" s="22">
        <f>IF(AND(R50&lt;&gt;"",K50&lt;&gt;""),R50*K50,"")</f>
        <v/>
      </c>
      <c r="T50" s="21">
        <f>IF(R50&lt;&gt;"",T49+R50,"")</f>
        <v/>
      </c>
      <c r="U50" s="19" t="n"/>
    </row>
    <row r="51" ht="15" customHeight="1" s="16">
      <c r="A51" s="18">
        <f>IF(B51="","",ROW()-1)</f>
        <v/>
      </c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20" t="n"/>
      <c r="L51" s="18">
        <f>IF(AND(I51&lt;&gt;"",J51&lt;&gt;"",K51&lt;&gt;""),ROUND(K51/ABS(I51-J51),0),"")</f>
        <v/>
      </c>
      <c r="M51" s="20" t="n"/>
      <c r="N51" s="19" t="n"/>
      <c r="O51" s="19" t="n"/>
      <c r="P51" s="19" t="n"/>
      <c r="Q51" s="21">
        <f>IF(AND(M51&lt;&gt;"",I51&lt;&gt;""),IF(E51="LONG",M51-I51,I51-M51),"")</f>
        <v/>
      </c>
      <c r="R51" s="21">
        <f>IF(AND(Q51&lt;&gt;"",I51&lt;&gt;"",J51&lt;&gt;""),Q51/ABS(I51-J51),"")</f>
        <v/>
      </c>
      <c r="S51" s="22">
        <f>IF(AND(R51&lt;&gt;"",K51&lt;&gt;""),R51*K51,"")</f>
        <v/>
      </c>
      <c r="T51" s="21">
        <f>IF(R51&lt;&gt;"",T50+R51,"")</f>
        <v/>
      </c>
      <c r="U51" s="19" t="n"/>
    </row>
    <row r="52" ht="15" customHeight="1" s="16">
      <c r="A52" s="18">
        <f>IF(B52="","",ROW()-1)</f>
        <v/>
      </c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20" t="n"/>
      <c r="L52" s="18">
        <f>IF(AND(I52&lt;&gt;"",J52&lt;&gt;"",K52&lt;&gt;""),ROUND(K52/ABS(I52-J52),0),"")</f>
        <v/>
      </c>
      <c r="M52" s="20" t="n"/>
      <c r="N52" s="19" t="n"/>
      <c r="O52" s="19" t="n"/>
      <c r="P52" s="19" t="n"/>
      <c r="Q52" s="21">
        <f>IF(AND(M52&lt;&gt;"",I52&lt;&gt;""),IF(E52="LONG",M52-I52,I52-M52),"")</f>
        <v/>
      </c>
      <c r="R52" s="21">
        <f>IF(AND(Q52&lt;&gt;"",I52&lt;&gt;"",J52&lt;&gt;""),Q52/ABS(I52-J52),"")</f>
        <v/>
      </c>
      <c r="S52" s="22">
        <f>IF(AND(R52&lt;&gt;"",K52&lt;&gt;""),R52*K52,"")</f>
        <v/>
      </c>
      <c r="T52" s="21">
        <f>IF(R52&lt;&gt;"",T51+R52,"")</f>
        <v/>
      </c>
      <c r="U52" s="19" t="n"/>
    </row>
    <row r="53" ht="15" customHeight="1" s="16">
      <c r="A53" s="18">
        <f>IF(B53="","",ROW()-1)</f>
        <v/>
      </c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20" t="n"/>
      <c r="L53" s="18">
        <f>IF(AND(I53&lt;&gt;"",J53&lt;&gt;"",K53&lt;&gt;""),ROUND(K53/ABS(I53-J53),0),"")</f>
        <v/>
      </c>
      <c r="M53" s="20" t="n"/>
      <c r="N53" s="19" t="n"/>
      <c r="O53" s="19" t="n"/>
      <c r="P53" s="19" t="n"/>
      <c r="Q53" s="21">
        <f>IF(AND(M53&lt;&gt;"",I53&lt;&gt;""),IF(E53="LONG",M53-I53,I53-M53),"")</f>
        <v/>
      </c>
      <c r="R53" s="21">
        <f>IF(AND(Q53&lt;&gt;"",I53&lt;&gt;"",J53&lt;&gt;""),Q53/ABS(I53-J53),"")</f>
        <v/>
      </c>
      <c r="S53" s="22">
        <f>IF(AND(R53&lt;&gt;"",K53&lt;&gt;""),R53*K53,"")</f>
        <v/>
      </c>
      <c r="T53" s="21">
        <f>IF(R53&lt;&gt;"",T52+R53,"")</f>
        <v/>
      </c>
      <c r="U53" s="19" t="n"/>
    </row>
    <row r="54" ht="15" customHeight="1" s="16">
      <c r="A54" s="18">
        <f>IF(B54="","",ROW()-1)</f>
        <v/>
      </c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20" t="n"/>
      <c r="L54" s="18">
        <f>IF(AND(I54&lt;&gt;"",J54&lt;&gt;"",K54&lt;&gt;""),ROUND(K54/ABS(I54-J54),0),"")</f>
        <v/>
      </c>
      <c r="M54" s="20" t="n"/>
      <c r="N54" s="19" t="n"/>
      <c r="O54" s="19" t="n"/>
      <c r="P54" s="19" t="n"/>
      <c r="Q54" s="21">
        <f>IF(AND(M54&lt;&gt;"",I54&lt;&gt;""),IF(E54="LONG",M54-I54,I54-M54),"")</f>
        <v/>
      </c>
      <c r="R54" s="21">
        <f>IF(AND(Q54&lt;&gt;"",I54&lt;&gt;"",J54&lt;&gt;""),Q54/ABS(I54-J54),"")</f>
        <v/>
      </c>
      <c r="S54" s="22">
        <f>IF(AND(R54&lt;&gt;"",K54&lt;&gt;""),R54*K54,"")</f>
        <v/>
      </c>
      <c r="T54" s="21">
        <f>IF(R54&lt;&gt;"",T53+R54,"")</f>
        <v/>
      </c>
      <c r="U54" s="19" t="n"/>
    </row>
    <row r="55" ht="15" customHeight="1" s="16">
      <c r="A55" s="18">
        <f>IF(B55="","",ROW()-1)</f>
        <v/>
      </c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20" t="n"/>
      <c r="L55" s="18">
        <f>IF(AND(I55&lt;&gt;"",J55&lt;&gt;"",K55&lt;&gt;""),ROUND(K55/ABS(I55-J55),0),"")</f>
        <v/>
      </c>
      <c r="M55" s="20" t="n"/>
      <c r="N55" s="19" t="n"/>
      <c r="O55" s="19" t="n"/>
      <c r="P55" s="19" t="n"/>
      <c r="Q55" s="21">
        <f>IF(AND(M55&lt;&gt;"",I55&lt;&gt;""),IF(E55="LONG",M55-I55,I55-M55),"")</f>
        <v/>
      </c>
      <c r="R55" s="21">
        <f>IF(AND(Q55&lt;&gt;"",I55&lt;&gt;"",J55&lt;&gt;""),Q55/ABS(I55-J55),"")</f>
        <v/>
      </c>
      <c r="S55" s="22">
        <f>IF(AND(R55&lt;&gt;"",K55&lt;&gt;""),R55*K55,"")</f>
        <v/>
      </c>
      <c r="T55" s="21">
        <f>IF(R55&lt;&gt;"",T54+R55,"")</f>
        <v/>
      </c>
      <c r="U55" s="19" t="n"/>
    </row>
    <row r="56" ht="15" customHeight="1" s="16">
      <c r="A56" s="18">
        <f>IF(B56="","",ROW()-1)</f>
        <v/>
      </c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20" t="n"/>
      <c r="L56" s="18">
        <f>IF(AND(I56&lt;&gt;"",J56&lt;&gt;"",K56&lt;&gt;""),ROUND(K56/ABS(I56-J56),0),"")</f>
        <v/>
      </c>
      <c r="M56" s="20" t="n"/>
      <c r="N56" s="19" t="n"/>
      <c r="O56" s="19" t="n"/>
      <c r="P56" s="19" t="n"/>
      <c r="Q56" s="21">
        <f>IF(AND(M56&lt;&gt;"",I56&lt;&gt;""),IF(E56="LONG",M56-I56,I56-M56),"")</f>
        <v/>
      </c>
      <c r="R56" s="21">
        <f>IF(AND(Q56&lt;&gt;"",I56&lt;&gt;"",J56&lt;&gt;""),Q56/ABS(I56-J56),"")</f>
        <v/>
      </c>
      <c r="S56" s="22">
        <f>IF(AND(R56&lt;&gt;"",K56&lt;&gt;""),R56*K56,"")</f>
        <v/>
      </c>
      <c r="T56" s="21">
        <f>IF(R56&lt;&gt;"",T55+R56,"")</f>
        <v/>
      </c>
      <c r="U56" s="19" t="n"/>
    </row>
    <row r="57" ht="15" customHeight="1" s="16">
      <c r="A57" s="18">
        <f>IF(B57="","",ROW()-1)</f>
        <v/>
      </c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20" t="n"/>
      <c r="L57" s="18">
        <f>IF(AND(I57&lt;&gt;"",J57&lt;&gt;"",K57&lt;&gt;""),ROUND(K57/ABS(I57-J57),0),"")</f>
        <v/>
      </c>
      <c r="M57" s="20" t="n"/>
      <c r="N57" s="19" t="n"/>
      <c r="O57" s="19" t="n"/>
      <c r="P57" s="19" t="n"/>
      <c r="Q57" s="21">
        <f>IF(AND(M57&lt;&gt;"",I57&lt;&gt;""),IF(E57="LONG",M57-I57,I57-M57),"")</f>
        <v/>
      </c>
      <c r="R57" s="21">
        <f>IF(AND(Q57&lt;&gt;"",I57&lt;&gt;"",J57&lt;&gt;""),Q57/ABS(I57-J57),"")</f>
        <v/>
      </c>
      <c r="S57" s="22">
        <f>IF(AND(R57&lt;&gt;"",K57&lt;&gt;""),R57*K57,"")</f>
        <v/>
      </c>
      <c r="T57" s="21">
        <f>IF(R57&lt;&gt;"",T56+R57,"")</f>
        <v/>
      </c>
      <c r="U57" s="19" t="n"/>
    </row>
    <row r="58" ht="15" customHeight="1" s="16">
      <c r="A58" s="18">
        <f>IF(B58="","",ROW()-1)</f>
        <v/>
      </c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20" t="n"/>
      <c r="L58" s="18">
        <f>IF(AND(I58&lt;&gt;"",J58&lt;&gt;"",K58&lt;&gt;""),ROUND(K58/ABS(I58-J58),0),"")</f>
        <v/>
      </c>
      <c r="M58" s="20" t="n"/>
      <c r="N58" s="19" t="n"/>
      <c r="O58" s="19" t="n"/>
      <c r="P58" s="19" t="n"/>
      <c r="Q58" s="21">
        <f>IF(AND(M58&lt;&gt;"",I58&lt;&gt;""),IF(E58="LONG",M58-I58,I58-M58),"")</f>
        <v/>
      </c>
      <c r="R58" s="21">
        <f>IF(AND(Q58&lt;&gt;"",I58&lt;&gt;"",J58&lt;&gt;""),Q58/ABS(I58-J58),"")</f>
        <v/>
      </c>
      <c r="S58" s="22">
        <f>IF(AND(R58&lt;&gt;"",K58&lt;&gt;""),R58*K58,"")</f>
        <v/>
      </c>
      <c r="T58" s="21">
        <f>IF(R58&lt;&gt;"",T57+R58,"")</f>
        <v/>
      </c>
      <c r="U58" s="19" t="n"/>
    </row>
    <row r="59" ht="15" customHeight="1" s="16">
      <c r="A59" s="18">
        <f>IF(B59="","",ROW()-1)</f>
        <v/>
      </c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20" t="n"/>
      <c r="L59" s="18">
        <f>IF(AND(I59&lt;&gt;"",J59&lt;&gt;"",K59&lt;&gt;""),ROUND(K59/ABS(I59-J59),0),"")</f>
        <v/>
      </c>
      <c r="M59" s="20" t="n"/>
      <c r="N59" s="19" t="n"/>
      <c r="O59" s="19" t="n"/>
      <c r="P59" s="19" t="n"/>
      <c r="Q59" s="21">
        <f>IF(AND(M59&lt;&gt;"",I59&lt;&gt;""),IF(E59="LONG",M59-I59,I59-M59),"")</f>
        <v/>
      </c>
      <c r="R59" s="21">
        <f>IF(AND(Q59&lt;&gt;"",I59&lt;&gt;"",J59&lt;&gt;""),Q59/ABS(I59-J59),"")</f>
        <v/>
      </c>
      <c r="S59" s="22">
        <f>IF(AND(R59&lt;&gt;"",K59&lt;&gt;""),R59*K59,"")</f>
        <v/>
      </c>
      <c r="T59" s="21">
        <f>IF(R59&lt;&gt;"",T58+R59,"")</f>
        <v/>
      </c>
      <c r="U59" s="19" t="n"/>
    </row>
    <row r="60" ht="15" customHeight="1" s="16">
      <c r="A60" s="18">
        <f>IF(B60="","",ROW()-1)</f>
        <v/>
      </c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20" t="n"/>
      <c r="L60" s="18">
        <f>IF(AND(I60&lt;&gt;"",J60&lt;&gt;"",K60&lt;&gt;""),ROUND(K60/ABS(I60-J60),0),"")</f>
        <v/>
      </c>
      <c r="M60" s="20" t="n"/>
      <c r="N60" s="19" t="n"/>
      <c r="O60" s="19" t="n"/>
      <c r="P60" s="19" t="n"/>
      <c r="Q60" s="21">
        <f>IF(AND(M60&lt;&gt;"",I60&lt;&gt;""),IF(E60="LONG",M60-I60,I60-M60),"")</f>
        <v/>
      </c>
      <c r="R60" s="21">
        <f>IF(AND(Q60&lt;&gt;"",I60&lt;&gt;"",J60&lt;&gt;""),Q60/ABS(I60-J60),"")</f>
        <v/>
      </c>
      <c r="S60" s="22">
        <f>IF(AND(R60&lt;&gt;"",K60&lt;&gt;""),R60*K60,"")</f>
        <v/>
      </c>
      <c r="T60" s="21">
        <f>IF(R60&lt;&gt;"",T59+R60,"")</f>
        <v/>
      </c>
      <c r="U60" s="19" t="n"/>
    </row>
    <row r="61" ht="15" customHeight="1" s="16">
      <c r="A61" s="18">
        <f>IF(B61="","",ROW()-1)</f>
        <v/>
      </c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20" t="n"/>
      <c r="L61" s="18">
        <f>IF(AND(I61&lt;&gt;"",J61&lt;&gt;"",K61&lt;&gt;""),ROUND(K61/ABS(I61-J61),0),"")</f>
        <v/>
      </c>
      <c r="M61" s="20" t="n"/>
      <c r="N61" s="19" t="n"/>
      <c r="O61" s="19" t="n"/>
      <c r="P61" s="19" t="n"/>
      <c r="Q61" s="21">
        <f>IF(AND(M61&lt;&gt;"",I61&lt;&gt;""),IF(E61="LONG",M61-I61,I61-M61),"")</f>
        <v/>
      </c>
      <c r="R61" s="21">
        <f>IF(AND(Q61&lt;&gt;"",I61&lt;&gt;"",J61&lt;&gt;""),Q61/ABS(I61-J61),"")</f>
        <v/>
      </c>
      <c r="S61" s="22">
        <f>IF(AND(R61&lt;&gt;"",K61&lt;&gt;""),R61*K61,"")</f>
        <v/>
      </c>
      <c r="T61" s="21">
        <f>IF(R61&lt;&gt;"",T60+R61,"")</f>
        <v/>
      </c>
      <c r="U61" s="19" t="n"/>
    </row>
    <row r="62" ht="15" customHeight="1" s="16">
      <c r="A62" s="18">
        <f>IF(B62="","",ROW()-1)</f>
        <v/>
      </c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20" t="n"/>
      <c r="L62" s="18">
        <f>IF(AND(I62&lt;&gt;"",J62&lt;&gt;"",K62&lt;&gt;""),ROUND(K62/ABS(I62-J62),0),"")</f>
        <v/>
      </c>
      <c r="M62" s="20" t="n"/>
      <c r="N62" s="19" t="n"/>
      <c r="O62" s="19" t="n"/>
      <c r="P62" s="19" t="n"/>
      <c r="Q62" s="21">
        <f>IF(AND(M62&lt;&gt;"",I62&lt;&gt;""),IF(E62="LONG",M62-I62,I62-M62),"")</f>
        <v/>
      </c>
      <c r="R62" s="21">
        <f>IF(AND(Q62&lt;&gt;"",I62&lt;&gt;"",J62&lt;&gt;""),Q62/ABS(I62-J62),"")</f>
        <v/>
      </c>
      <c r="S62" s="22">
        <f>IF(AND(R62&lt;&gt;"",K62&lt;&gt;""),R62*K62,"")</f>
        <v/>
      </c>
      <c r="T62" s="21">
        <f>IF(R62&lt;&gt;"",T61+R62,"")</f>
        <v/>
      </c>
      <c r="U62" s="19" t="n"/>
    </row>
    <row r="63" ht="15" customHeight="1" s="16">
      <c r="A63" s="18">
        <f>IF(B63="","",ROW()-1)</f>
        <v/>
      </c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20" t="n"/>
      <c r="L63" s="18">
        <f>IF(AND(I63&lt;&gt;"",J63&lt;&gt;"",K63&lt;&gt;""),ROUND(K63/ABS(I63-J63),0),"")</f>
        <v/>
      </c>
      <c r="M63" s="20" t="n"/>
      <c r="N63" s="19" t="n"/>
      <c r="O63" s="19" t="n"/>
      <c r="P63" s="19" t="n"/>
      <c r="Q63" s="21">
        <f>IF(AND(M63&lt;&gt;"",I63&lt;&gt;""),IF(E63="LONG",M63-I63,I63-M63),"")</f>
        <v/>
      </c>
      <c r="R63" s="21">
        <f>IF(AND(Q63&lt;&gt;"",I63&lt;&gt;"",J63&lt;&gt;""),Q63/ABS(I63-J63),"")</f>
        <v/>
      </c>
      <c r="S63" s="22">
        <f>IF(AND(R63&lt;&gt;"",K63&lt;&gt;""),R63*K63,"")</f>
        <v/>
      </c>
      <c r="T63" s="21">
        <f>IF(R63&lt;&gt;"",T62+R63,"")</f>
        <v/>
      </c>
      <c r="U63" s="19" t="n"/>
    </row>
    <row r="64" ht="15" customHeight="1" s="16">
      <c r="A64" s="18">
        <f>IF(B64="","",ROW()-1)</f>
        <v/>
      </c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20" t="n"/>
      <c r="L64" s="18">
        <f>IF(AND(I64&lt;&gt;"",J64&lt;&gt;"",K64&lt;&gt;""),ROUND(K64/ABS(I64-J64),0),"")</f>
        <v/>
      </c>
      <c r="M64" s="20" t="n"/>
      <c r="N64" s="19" t="n"/>
      <c r="O64" s="19" t="n"/>
      <c r="P64" s="19" t="n"/>
      <c r="Q64" s="21">
        <f>IF(AND(M64&lt;&gt;"",I64&lt;&gt;""),IF(E64="LONG",M64-I64,I64-M64),"")</f>
        <v/>
      </c>
      <c r="R64" s="21">
        <f>IF(AND(Q64&lt;&gt;"",I64&lt;&gt;"",J64&lt;&gt;""),Q64/ABS(I64-J64),"")</f>
        <v/>
      </c>
      <c r="S64" s="22">
        <f>IF(AND(R64&lt;&gt;"",K64&lt;&gt;""),R64*K64,"")</f>
        <v/>
      </c>
      <c r="T64" s="21">
        <f>IF(R64&lt;&gt;"",T63+R64,"")</f>
        <v/>
      </c>
      <c r="U64" s="19" t="n"/>
    </row>
    <row r="65" ht="15" customHeight="1" s="16">
      <c r="A65" s="18">
        <f>IF(B65="","",ROW()-1)</f>
        <v/>
      </c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20" t="n"/>
      <c r="L65" s="18">
        <f>IF(AND(I65&lt;&gt;"",J65&lt;&gt;"",K65&lt;&gt;""),ROUND(K65/ABS(I65-J65),0),"")</f>
        <v/>
      </c>
      <c r="M65" s="20" t="n"/>
      <c r="N65" s="19" t="n"/>
      <c r="O65" s="19" t="n"/>
      <c r="P65" s="19" t="n"/>
      <c r="Q65" s="21">
        <f>IF(AND(M65&lt;&gt;"",I65&lt;&gt;""),IF(E65="LONG",M65-I65,I65-M65),"")</f>
        <v/>
      </c>
      <c r="R65" s="21">
        <f>IF(AND(Q65&lt;&gt;"",I65&lt;&gt;"",J65&lt;&gt;""),Q65/ABS(I65-J65),"")</f>
        <v/>
      </c>
      <c r="S65" s="22">
        <f>IF(AND(R65&lt;&gt;"",K65&lt;&gt;""),R65*K65,"")</f>
        <v/>
      </c>
      <c r="T65" s="21">
        <f>IF(R65&lt;&gt;"",T64+R65,"")</f>
        <v/>
      </c>
      <c r="U65" s="19" t="n"/>
    </row>
    <row r="66" ht="15" customHeight="1" s="16">
      <c r="A66" s="18">
        <f>IF(B66="","",ROW()-1)</f>
        <v/>
      </c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20" t="n"/>
      <c r="L66" s="18">
        <f>IF(AND(I66&lt;&gt;"",J66&lt;&gt;"",K66&lt;&gt;""),ROUND(K66/ABS(I66-J66),0),"")</f>
        <v/>
      </c>
      <c r="M66" s="20" t="n"/>
      <c r="N66" s="19" t="n"/>
      <c r="O66" s="19" t="n"/>
      <c r="P66" s="19" t="n"/>
      <c r="Q66" s="21">
        <f>IF(AND(M66&lt;&gt;"",I66&lt;&gt;""),IF(E66="LONG",M66-I66,I66-M66),"")</f>
        <v/>
      </c>
      <c r="R66" s="21">
        <f>IF(AND(Q66&lt;&gt;"",I66&lt;&gt;"",J66&lt;&gt;""),Q66/ABS(I66-J66),"")</f>
        <v/>
      </c>
      <c r="S66" s="22">
        <f>IF(AND(R66&lt;&gt;"",K66&lt;&gt;""),R66*K66,"")</f>
        <v/>
      </c>
      <c r="T66" s="21">
        <f>IF(R66&lt;&gt;"",T65+R66,"")</f>
        <v/>
      </c>
      <c r="U66" s="19" t="n"/>
    </row>
    <row r="67" ht="15" customHeight="1" s="16">
      <c r="A67" s="18">
        <f>IF(B67="","",ROW()-1)</f>
        <v/>
      </c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20" t="n"/>
      <c r="L67" s="18">
        <f>IF(AND(I67&lt;&gt;"",J67&lt;&gt;"",K67&lt;&gt;""),ROUND(K67/ABS(I67-J67),0),"")</f>
        <v/>
      </c>
      <c r="M67" s="20" t="n"/>
      <c r="N67" s="19" t="n"/>
      <c r="O67" s="19" t="n"/>
      <c r="P67" s="19" t="n"/>
      <c r="Q67" s="21">
        <f>IF(AND(M67&lt;&gt;"",I67&lt;&gt;""),IF(E67="LONG",M67-I67,I67-M67),"")</f>
        <v/>
      </c>
      <c r="R67" s="21">
        <f>IF(AND(Q67&lt;&gt;"",I67&lt;&gt;"",J67&lt;&gt;""),Q67/ABS(I67-J67),"")</f>
        <v/>
      </c>
      <c r="S67" s="22">
        <f>IF(AND(R67&lt;&gt;"",K67&lt;&gt;""),R67*K67,"")</f>
        <v/>
      </c>
      <c r="T67" s="21">
        <f>IF(R67&lt;&gt;"",T66+R67,"")</f>
        <v/>
      </c>
      <c r="U67" s="19" t="n"/>
    </row>
    <row r="68" ht="15" customHeight="1" s="16">
      <c r="A68" s="18">
        <f>IF(B68="","",ROW()-1)</f>
        <v/>
      </c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20" t="n"/>
      <c r="L68" s="18">
        <f>IF(AND(I68&lt;&gt;"",J68&lt;&gt;"",K68&lt;&gt;""),ROUND(K68/ABS(I68-J68),0),"")</f>
        <v/>
      </c>
      <c r="M68" s="20" t="n"/>
      <c r="N68" s="19" t="n"/>
      <c r="O68" s="19" t="n"/>
      <c r="P68" s="19" t="n"/>
      <c r="Q68" s="21">
        <f>IF(AND(M68&lt;&gt;"",I68&lt;&gt;""),IF(E68="LONG",M68-I68,I68-M68),"")</f>
        <v/>
      </c>
      <c r="R68" s="21">
        <f>IF(AND(Q68&lt;&gt;"",I68&lt;&gt;"",J68&lt;&gt;""),Q68/ABS(I68-J68),"")</f>
        <v/>
      </c>
      <c r="S68" s="22">
        <f>IF(AND(R68&lt;&gt;"",K68&lt;&gt;""),R68*K68,"")</f>
        <v/>
      </c>
      <c r="T68" s="21">
        <f>IF(R68&lt;&gt;"",T67+R68,"")</f>
        <v/>
      </c>
      <c r="U68" s="19" t="n"/>
    </row>
    <row r="69" ht="15" customHeight="1" s="16">
      <c r="A69" s="18">
        <f>IF(B69="","",ROW()-1)</f>
        <v/>
      </c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20" t="n"/>
      <c r="L69" s="18">
        <f>IF(AND(I69&lt;&gt;"",J69&lt;&gt;"",K69&lt;&gt;""),ROUND(K69/ABS(I69-J69),0),"")</f>
        <v/>
      </c>
      <c r="M69" s="20" t="n"/>
      <c r="N69" s="19" t="n"/>
      <c r="O69" s="19" t="n"/>
      <c r="P69" s="19" t="n"/>
      <c r="Q69" s="21">
        <f>IF(AND(M69&lt;&gt;"",I69&lt;&gt;""),IF(E69="LONG",M69-I69,I69-M69),"")</f>
        <v/>
      </c>
      <c r="R69" s="21">
        <f>IF(AND(Q69&lt;&gt;"",I69&lt;&gt;"",J69&lt;&gt;""),Q69/ABS(I69-J69),"")</f>
        <v/>
      </c>
      <c r="S69" s="22">
        <f>IF(AND(R69&lt;&gt;"",K69&lt;&gt;""),R69*K69,"")</f>
        <v/>
      </c>
      <c r="T69" s="21">
        <f>IF(R69&lt;&gt;"",T68+R69,"")</f>
        <v/>
      </c>
      <c r="U69" s="19" t="n"/>
    </row>
    <row r="70" ht="15" customHeight="1" s="16">
      <c r="A70" s="18">
        <f>IF(B70="","",ROW()-1)</f>
        <v/>
      </c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20" t="n"/>
      <c r="L70" s="18">
        <f>IF(AND(I70&lt;&gt;"",J70&lt;&gt;"",K70&lt;&gt;""),ROUND(K70/ABS(I70-J70),0),"")</f>
        <v/>
      </c>
      <c r="M70" s="20" t="n"/>
      <c r="N70" s="19" t="n"/>
      <c r="O70" s="19" t="n"/>
      <c r="P70" s="19" t="n"/>
      <c r="Q70" s="21">
        <f>IF(AND(M70&lt;&gt;"",I70&lt;&gt;""),IF(E70="LONG",M70-I70,I70-M70),"")</f>
        <v/>
      </c>
      <c r="R70" s="21">
        <f>IF(AND(Q70&lt;&gt;"",I70&lt;&gt;"",J70&lt;&gt;""),Q70/ABS(I70-J70),"")</f>
        <v/>
      </c>
      <c r="S70" s="22">
        <f>IF(AND(R70&lt;&gt;"",K70&lt;&gt;""),R70*K70,"")</f>
        <v/>
      </c>
      <c r="T70" s="21">
        <f>IF(R70&lt;&gt;"",T69+R70,"")</f>
        <v/>
      </c>
      <c r="U70" s="19" t="n"/>
    </row>
    <row r="71" ht="15" customHeight="1" s="16">
      <c r="A71" s="18">
        <f>IF(B71="","",ROW()-1)</f>
        <v/>
      </c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20" t="n"/>
      <c r="L71" s="18">
        <f>IF(AND(I71&lt;&gt;"",J71&lt;&gt;"",K71&lt;&gt;""),ROUND(K71/ABS(I71-J71),0),"")</f>
        <v/>
      </c>
      <c r="M71" s="20" t="n"/>
      <c r="N71" s="19" t="n"/>
      <c r="O71" s="19" t="n"/>
      <c r="P71" s="19" t="n"/>
      <c r="Q71" s="21">
        <f>IF(AND(M71&lt;&gt;"",I71&lt;&gt;""),IF(E71="LONG",M71-I71,I71-M71),"")</f>
        <v/>
      </c>
      <c r="R71" s="21">
        <f>IF(AND(Q71&lt;&gt;"",I71&lt;&gt;"",J71&lt;&gt;""),Q71/ABS(I71-J71),"")</f>
        <v/>
      </c>
      <c r="S71" s="22">
        <f>IF(AND(R71&lt;&gt;"",K71&lt;&gt;""),R71*K71,"")</f>
        <v/>
      </c>
      <c r="T71" s="21">
        <f>IF(R71&lt;&gt;"",T70+R71,"")</f>
        <v/>
      </c>
      <c r="U71" s="19" t="n"/>
    </row>
    <row r="72" ht="15" customHeight="1" s="16">
      <c r="A72" s="18">
        <f>IF(B72="","",ROW()-1)</f>
        <v/>
      </c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20" t="n"/>
      <c r="L72" s="18">
        <f>IF(AND(I72&lt;&gt;"",J72&lt;&gt;"",K72&lt;&gt;""),ROUND(K72/ABS(I72-J72),0),"")</f>
        <v/>
      </c>
      <c r="M72" s="20" t="n"/>
      <c r="N72" s="19" t="n"/>
      <c r="O72" s="19" t="n"/>
      <c r="P72" s="19" t="n"/>
      <c r="Q72" s="21">
        <f>IF(AND(M72&lt;&gt;"",I72&lt;&gt;""),IF(E72="LONG",M72-I72,I72-M72),"")</f>
        <v/>
      </c>
      <c r="R72" s="21">
        <f>IF(AND(Q72&lt;&gt;"",I72&lt;&gt;"",J72&lt;&gt;""),Q72/ABS(I72-J72),"")</f>
        <v/>
      </c>
      <c r="S72" s="22">
        <f>IF(AND(R72&lt;&gt;"",K72&lt;&gt;""),R72*K72,"")</f>
        <v/>
      </c>
      <c r="T72" s="21">
        <f>IF(R72&lt;&gt;"",T71+R72,"")</f>
        <v/>
      </c>
      <c r="U72" s="19" t="n"/>
    </row>
    <row r="73" ht="15" customHeight="1" s="16">
      <c r="A73" s="18">
        <f>IF(B73="","",ROW()-1)</f>
        <v/>
      </c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20" t="n"/>
      <c r="L73" s="18">
        <f>IF(AND(I73&lt;&gt;"",J73&lt;&gt;"",K73&lt;&gt;""),ROUND(K73/ABS(I73-J73),0),"")</f>
        <v/>
      </c>
      <c r="M73" s="20" t="n"/>
      <c r="N73" s="19" t="n"/>
      <c r="O73" s="19" t="n"/>
      <c r="P73" s="19" t="n"/>
      <c r="Q73" s="21">
        <f>IF(AND(M73&lt;&gt;"",I73&lt;&gt;""),IF(E73="LONG",M73-I73,I73-M73),"")</f>
        <v/>
      </c>
      <c r="R73" s="21">
        <f>IF(AND(Q73&lt;&gt;"",I73&lt;&gt;"",J73&lt;&gt;""),Q73/ABS(I73-J73),"")</f>
        <v/>
      </c>
      <c r="S73" s="22">
        <f>IF(AND(R73&lt;&gt;"",K73&lt;&gt;""),R73*K73,"")</f>
        <v/>
      </c>
      <c r="T73" s="21">
        <f>IF(R73&lt;&gt;"",T72+R73,"")</f>
        <v/>
      </c>
      <c r="U73" s="19" t="n"/>
    </row>
    <row r="74" ht="15" customHeight="1" s="16">
      <c r="A74" s="18">
        <f>IF(B74="","",ROW()-1)</f>
        <v/>
      </c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20" t="n"/>
      <c r="L74" s="18">
        <f>IF(AND(I74&lt;&gt;"",J74&lt;&gt;"",K74&lt;&gt;""),ROUND(K74/ABS(I74-J74),0),"")</f>
        <v/>
      </c>
      <c r="M74" s="20" t="n"/>
      <c r="N74" s="19" t="n"/>
      <c r="O74" s="19" t="n"/>
      <c r="P74" s="19" t="n"/>
      <c r="Q74" s="21">
        <f>IF(AND(M74&lt;&gt;"",I74&lt;&gt;""),IF(E74="LONG",M74-I74,I74-M74),"")</f>
        <v/>
      </c>
      <c r="R74" s="21">
        <f>IF(AND(Q74&lt;&gt;"",I74&lt;&gt;"",J74&lt;&gt;""),Q74/ABS(I74-J74),"")</f>
        <v/>
      </c>
      <c r="S74" s="22">
        <f>IF(AND(R74&lt;&gt;"",K74&lt;&gt;""),R74*K74,"")</f>
        <v/>
      </c>
      <c r="T74" s="21">
        <f>IF(R74&lt;&gt;"",T73+R74,"")</f>
        <v/>
      </c>
      <c r="U74" s="19" t="n"/>
    </row>
    <row r="75" ht="15" customHeight="1" s="16">
      <c r="A75" s="18">
        <f>IF(B75="","",ROW()-1)</f>
        <v/>
      </c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20" t="n"/>
      <c r="L75" s="18">
        <f>IF(AND(I75&lt;&gt;"",J75&lt;&gt;"",K75&lt;&gt;""),ROUND(K75/ABS(I75-J75),0),"")</f>
        <v/>
      </c>
      <c r="M75" s="20" t="n"/>
      <c r="N75" s="19" t="n"/>
      <c r="O75" s="19" t="n"/>
      <c r="P75" s="19" t="n"/>
      <c r="Q75" s="21">
        <f>IF(AND(M75&lt;&gt;"",I75&lt;&gt;""),IF(E75="LONG",M75-I75,I75-M75),"")</f>
        <v/>
      </c>
      <c r="R75" s="21">
        <f>IF(AND(Q75&lt;&gt;"",I75&lt;&gt;"",J75&lt;&gt;""),Q75/ABS(I75-J75),"")</f>
        <v/>
      </c>
      <c r="S75" s="22">
        <f>IF(AND(R75&lt;&gt;"",K75&lt;&gt;""),R75*K75,"")</f>
        <v/>
      </c>
      <c r="T75" s="21">
        <f>IF(R75&lt;&gt;"",T74+R75,"")</f>
        <v/>
      </c>
      <c r="U75" s="19" t="n"/>
    </row>
    <row r="76" ht="15" customHeight="1" s="16">
      <c r="A76" s="18">
        <f>IF(B76="","",ROW()-1)</f>
        <v/>
      </c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20" t="n"/>
      <c r="L76" s="18">
        <f>IF(AND(I76&lt;&gt;"",J76&lt;&gt;"",K76&lt;&gt;""),ROUND(K76/ABS(I76-J76),0),"")</f>
        <v/>
      </c>
      <c r="M76" s="20" t="n"/>
      <c r="N76" s="19" t="n"/>
      <c r="O76" s="19" t="n"/>
      <c r="P76" s="19" t="n"/>
      <c r="Q76" s="21">
        <f>IF(AND(M76&lt;&gt;"",I76&lt;&gt;""),IF(E76="LONG",M76-I76,I76-M76),"")</f>
        <v/>
      </c>
      <c r="R76" s="21">
        <f>IF(AND(Q76&lt;&gt;"",I76&lt;&gt;"",J76&lt;&gt;""),Q76/ABS(I76-J76),"")</f>
        <v/>
      </c>
      <c r="S76" s="22">
        <f>IF(AND(R76&lt;&gt;"",K76&lt;&gt;""),R76*K76,"")</f>
        <v/>
      </c>
      <c r="T76" s="21">
        <f>IF(R76&lt;&gt;"",T75+R76,"")</f>
        <v/>
      </c>
      <c r="U76" s="19" t="n"/>
    </row>
    <row r="77" ht="15" customHeight="1" s="16">
      <c r="A77" s="18">
        <f>IF(B77="","",ROW()-1)</f>
        <v/>
      </c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20" t="n"/>
      <c r="L77" s="18">
        <f>IF(AND(I77&lt;&gt;"",J77&lt;&gt;"",K77&lt;&gt;""),ROUND(K77/ABS(I77-J77),0),"")</f>
        <v/>
      </c>
      <c r="M77" s="20" t="n"/>
      <c r="N77" s="19" t="n"/>
      <c r="O77" s="19" t="n"/>
      <c r="P77" s="19" t="n"/>
      <c r="Q77" s="21">
        <f>IF(AND(M77&lt;&gt;"",I77&lt;&gt;""),IF(E77="LONG",M77-I77,I77-M77),"")</f>
        <v/>
      </c>
      <c r="R77" s="21">
        <f>IF(AND(Q77&lt;&gt;"",I77&lt;&gt;"",J77&lt;&gt;""),Q77/ABS(I77-J77),"")</f>
        <v/>
      </c>
      <c r="S77" s="22">
        <f>IF(AND(R77&lt;&gt;"",K77&lt;&gt;""),R77*K77,"")</f>
        <v/>
      </c>
      <c r="T77" s="21">
        <f>IF(R77&lt;&gt;"",T76+R77,"")</f>
        <v/>
      </c>
      <c r="U77" s="19" t="n"/>
    </row>
    <row r="78" ht="15" customHeight="1" s="16">
      <c r="A78" s="18">
        <f>IF(B78="","",ROW()-1)</f>
        <v/>
      </c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20" t="n"/>
      <c r="L78" s="18">
        <f>IF(AND(I78&lt;&gt;"",J78&lt;&gt;"",K78&lt;&gt;""),ROUND(K78/ABS(I78-J78),0),"")</f>
        <v/>
      </c>
      <c r="M78" s="20" t="n"/>
      <c r="N78" s="19" t="n"/>
      <c r="O78" s="19" t="n"/>
      <c r="P78" s="19" t="n"/>
      <c r="Q78" s="21">
        <f>IF(AND(M78&lt;&gt;"",I78&lt;&gt;""),IF(E78="LONG",M78-I78,I78-M78),"")</f>
        <v/>
      </c>
      <c r="R78" s="21">
        <f>IF(AND(Q78&lt;&gt;"",I78&lt;&gt;"",J78&lt;&gt;""),Q78/ABS(I78-J78),"")</f>
        <v/>
      </c>
      <c r="S78" s="22">
        <f>IF(AND(R78&lt;&gt;"",K78&lt;&gt;""),R78*K78,"")</f>
        <v/>
      </c>
      <c r="T78" s="21">
        <f>IF(R78&lt;&gt;"",T77+R78,"")</f>
        <v/>
      </c>
      <c r="U78" s="19" t="n"/>
    </row>
    <row r="79" ht="15" customHeight="1" s="16">
      <c r="A79" s="18">
        <f>IF(B79="","",ROW()-1)</f>
        <v/>
      </c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20" t="n"/>
      <c r="L79" s="18">
        <f>IF(AND(I79&lt;&gt;"",J79&lt;&gt;"",K79&lt;&gt;""),ROUND(K79/ABS(I79-J79),0),"")</f>
        <v/>
      </c>
      <c r="M79" s="20" t="n"/>
      <c r="N79" s="19" t="n"/>
      <c r="O79" s="19" t="n"/>
      <c r="P79" s="19" t="n"/>
      <c r="Q79" s="21">
        <f>IF(AND(M79&lt;&gt;"",I79&lt;&gt;""),IF(E79="LONG",M79-I79,I79-M79),"")</f>
        <v/>
      </c>
      <c r="R79" s="21">
        <f>IF(AND(Q79&lt;&gt;"",I79&lt;&gt;"",J79&lt;&gt;""),Q79/ABS(I79-J79),"")</f>
        <v/>
      </c>
      <c r="S79" s="22">
        <f>IF(AND(R79&lt;&gt;"",K79&lt;&gt;""),R79*K79,"")</f>
        <v/>
      </c>
      <c r="T79" s="21">
        <f>IF(R79&lt;&gt;"",T78+R79,"")</f>
        <v/>
      </c>
      <c r="U79" s="19" t="n"/>
    </row>
    <row r="80" ht="15" customHeight="1" s="16">
      <c r="A80" s="18">
        <f>IF(B80="","",ROW()-1)</f>
        <v/>
      </c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20" t="n"/>
      <c r="L80" s="18">
        <f>IF(AND(I80&lt;&gt;"",J80&lt;&gt;"",K80&lt;&gt;""),ROUND(K80/ABS(I80-J80),0),"")</f>
        <v/>
      </c>
      <c r="M80" s="20" t="n"/>
      <c r="N80" s="19" t="n"/>
      <c r="O80" s="19" t="n"/>
      <c r="P80" s="19" t="n"/>
      <c r="Q80" s="21">
        <f>IF(AND(M80&lt;&gt;"",I80&lt;&gt;""),IF(E80="LONG",M80-I80,I80-M80),"")</f>
        <v/>
      </c>
      <c r="R80" s="21">
        <f>IF(AND(Q80&lt;&gt;"",I80&lt;&gt;"",J80&lt;&gt;""),Q80/ABS(I80-J80),"")</f>
        <v/>
      </c>
      <c r="S80" s="22">
        <f>IF(AND(R80&lt;&gt;"",K80&lt;&gt;""),R80*K80,"")</f>
        <v/>
      </c>
      <c r="T80" s="21">
        <f>IF(R80&lt;&gt;"",T79+R80,"")</f>
        <v/>
      </c>
      <c r="U80" s="19" t="n"/>
    </row>
    <row r="81" ht="15" customHeight="1" s="16">
      <c r="A81" s="18">
        <f>IF(B81="","",ROW()-1)</f>
        <v/>
      </c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20" t="n"/>
      <c r="L81" s="18">
        <f>IF(AND(I81&lt;&gt;"",J81&lt;&gt;"",K81&lt;&gt;""),ROUND(K81/ABS(I81-J81),0),"")</f>
        <v/>
      </c>
      <c r="M81" s="20" t="n"/>
      <c r="N81" s="19" t="n"/>
      <c r="O81" s="19" t="n"/>
      <c r="P81" s="19" t="n"/>
      <c r="Q81" s="21">
        <f>IF(AND(M81&lt;&gt;"",I81&lt;&gt;""),IF(E81="LONG",M81-I81,I81-M81),"")</f>
        <v/>
      </c>
      <c r="R81" s="21">
        <f>IF(AND(Q81&lt;&gt;"",I81&lt;&gt;"",J81&lt;&gt;""),Q81/ABS(I81-J81),"")</f>
        <v/>
      </c>
      <c r="S81" s="22">
        <f>IF(AND(R81&lt;&gt;"",K81&lt;&gt;""),R81*K81,"")</f>
        <v/>
      </c>
      <c r="T81" s="21">
        <f>IF(R81&lt;&gt;"",T80+R81,"")</f>
        <v/>
      </c>
      <c r="U81" s="19" t="n"/>
    </row>
    <row r="82" ht="15" customHeight="1" s="16">
      <c r="A82" s="18">
        <f>IF(B82="","",ROW()-1)</f>
        <v/>
      </c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20" t="n"/>
      <c r="L82" s="18">
        <f>IF(AND(I82&lt;&gt;"",J82&lt;&gt;"",K82&lt;&gt;""),ROUND(K82/ABS(I82-J82),0),"")</f>
        <v/>
      </c>
      <c r="M82" s="20" t="n"/>
      <c r="N82" s="19" t="n"/>
      <c r="O82" s="19" t="n"/>
      <c r="P82" s="19" t="n"/>
      <c r="Q82" s="21">
        <f>IF(AND(M82&lt;&gt;"",I82&lt;&gt;""),IF(E82="LONG",M82-I82,I82-M82),"")</f>
        <v/>
      </c>
      <c r="R82" s="21">
        <f>IF(AND(Q82&lt;&gt;"",I82&lt;&gt;"",J82&lt;&gt;""),Q82/ABS(I82-J82),"")</f>
        <v/>
      </c>
      <c r="S82" s="22">
        <f>IF(AND(R82&lt;&gt;"",K82&lt;&gt;""),R82*K82,"")</f>
        <v/>
      </c>
      <c r="T82" s="21">
        <f>IF(R82&lt;&gt;"",T81+R82,"")</f>
        <v/>
      </c>
      <c r="U82" s="19" t="n"/>
    </row>
    <row r="83" ht="15" customHeight="1" s="16">
      <c r="A83" s="18">
        <f>IF(B83="","",ROW()-1)</f>
        <v/>
      </c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20" t="n"/>
      <c r="L83" s="18">
        <f>IF(AND(I83&lt;&gt;"",J83&lt;&gt;"",K83&lt;&gt;""),ROUND(K83/ABS(I83-J83),0),"")</f>
        <v/>
      </c>
      <c r="M83" s="20" t="n"/>
      <c r="N83" s="19" t="n"/>
      <c r="O83" s="19" t="n"/>
      <c r="P83" s="19" t="n"/>
      <c r="Q83" s="21">
        <f>IF(AND(M83&lt;&gt;"",I83&lt;&gt;""),IF(E83="LONG",M83-I83,I83-M83),"")</f>
        <v/>
      </c>
      <c r="R83" s="21">
        <f>IF(AND(Q83&lt;&gt;"",I83&lt;&gt;"",J83&lt;&gt;""),Q83/ABS(I83-J83),"")</f>
        <v/>
      </c>
      <c r="S83" s="22">
        <f>IF(AND(R83&lt;&gt;"",K83&lt;&gt;""),R83*K83,"")</f>
        <v/>
      </c>
      <c r="T83" s="21">
        <f>IF(R83&lt;&gt;"",T82+R83,"")</f>
        <v/>
      </c>
      <c r="U83" s="19" t="n"/>
    </row>
    <row r="84" ht="15" customHeight="1" s="16">
      <c r="A84" s="18">
        <f>IF(B84="","",ROW()-1)</f>
        <v/>
      </c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20" t="n"/>
      <c r="L84" s="18">
        <f>IF(AND(I84&lt;&gt;"",J84&lt;&gt;"",K84&lt;&gt;""),ROUND(K84/ABS(I84-J84),0),"")</f>
        <v/>
      </c>
      <c r="M84" s="20" t="n"/>
      <c r="N84" s="19" t="n"/>
      <c r="O84" s="19" t="n"/>
      <c r="P84" s="19" t="n"/>
      <c r="Q84" s="21">
        <f>IF(AND(M84&lt;&gt;"",I84&lt;&gt;""),IF(E84="LONG",M84-I84,I84-M84),"")</f>
        <v/>
      </c>
      <c r="R84" s="21">
        <f>IF(AND(Q84&lt;&gt;"",I84&lt;&gt;"",J84&lt;&gt;""),Q84/ABS(I84-J84),"")</f>
        <v/>
      </c>
      <c r="S84" s="22">
        <f>IF(AND(R84&lt;&gt;"",K84&lt;&gt;""),R84*K84,"")</f>
        <v/>
      </c>
      <c r="T84" s="21">
        <f>IF(R84&lt;&gt;"",T83+R84,"")</f>
        <v/>
      </c>
      <c r="U84" s="19" t="n"/>
    </row>
    <row r="85" ht="15" customHeight="1" s="16">
      <c r="A85" s="18">
        <f>IF(B85="","",ROW()-1)</f>
        <v/>
      </c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20" t="n"/>
      <c r="L85" s="18">
        <f>IF(AND(I85&lt;&gt;"",J85&lt;&gt;"",K85&lt;&gt;""),ROUND(K85/ABS(I85-J85),0),"")</f>
        <v/>
      </c>
      <c r="M85" s="20" t="n"/>
      <c r="N85" s="19" t="n"/>
      <c r="O85" s="19" t="n"/>
      <c r="P85" s="19" t="n"/>
      <c r="Q85" s="21">
        <f>IF(AND(M85&lt;&gt;"",I85&lt;&gt;""),IF(E85="LONG",M85-I85,I85-M85),"")</f>
        <v/>
      </c>
      <c r="R85" s="21">
        <f>IF(AND(Q85&lt;&gt;"",I85&lt;&gt;"",J85&lt;&gt;""),Q85/ABS(I85-J85),"")</f>
        <v/>
      </c>
      <c r="S85" s="22">
        <f>IF(AND(R85&lt;&gt;"",K85&lt;&gt;""),R85*K85,"")</f>
        <v/>
      </c>
      <c r="T85" s="21">
        <f>IF(R85&lt;&gt;"",T84+R85,"")</f>
        <v/>
      </c>
      <c r="U85" s="19" t="n"/>
    </row>
    <row r="86" ht="15" customHeight="1" s="16">
      <c r="A86" s="18">
        <f>IF(B86="","",ROW()-1)</f>
        <v/>
      </c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20" t="n"/>
      <c r="L86" s="18">
        <f>IF(AND(I86&lt;&gt;"",J86&lt;&gt;"",K86&lt;&gt;""),ROUND(K86/ABS(I86-J86),0),"")</f>
        <v/>
      </c>
      <c r="M86" s="20" t="n"/>
      <c r="N86" s="19" t="n"/>
      <c r="O86" s="19" t="n"/>
      <c r="P86" s="19" t="n"/>
      <c r="Q86" s="21">
        <f>IF(AND(M86&lt;&gt;"",I86&lt;&gt;""),IF(E86="LONG",M86-I86,I86-M86),"")</f>
        <v/>
      </c>
      <c r="R86" s="21">
        <f>IF(AND(Q86&lt;&gt;"",I86&lt;&gt;"",J86&lt;&gt;""),Q86/ABS(I86-J86),"")</f>
        <v/>
      </c>
      <c r="S86" s="22">
        <f>IF(AND(R86&lt;&gt;"",K86&lt;&gt;""),R86*K86,"")</f>
        <v/>
      </c>
      <c r="T86" s="21">
        <f>IF(R86&lt;&gt;"",T85+R86,"")</f>
        <v/>
      </c>
      <c r="U86" s="19" t="n"/>
    </row>
    <row r="87" ht="15" customHeight="1" s="16">
      <c r="A87" s="18">
        <f>IF(B87="","",ROW()-1)</f>
        <v/>
      </c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20" t="n"/>
      <c r="L87" s="18">
        <f>IF(AND(I87&lt;&gt;"",J87&lt;&gt;"",K87&lt;&gt;""),ROUND(K87/ABS(I87-J87),0),"")</f>
        <v/>
      </c>
      <c r="M87" s="20" t="n"/>
      <c r="N87" s="19" t="n"/>
      <c r="O87" s="19" t="n"/>
      <c r="P87" s="19" t="n"/>
      <c r="Q87" s="21">
        <f>IF(AND(M87&lt;&gt;"",I87&lt;&gt;""),IF(E87="LONG",M87-I87,I87-M87),"")</f>
        <v/>
      </c>
      <c r="R87" s="21">
        <f>IF(AND(Q87&lt;&gt;"",I87&lt;&gt;"",J87&lt;&gt;""),Q87/ABS(I87-J87),"")</f>
        <v/>
      </c>
      <c r="S87" s="22">
        <f>IF(AND(R87&lt;&gt;"",K87&lt;&gt;""),R87*K87,"")</f>
        <v/>
      </c>
      <c r="T87" s="21">
        <f>IF(R87&lt;&gt;"",T86+R87,"")</f>
        <v/>
      </c>
      <c r="U87" s="19" t="n"/>
    </row>
    <row r="88" ht="15" customHeight="1" s="16">
      <c r="A88" s="18">
        <f>IF(B88="","",ROW()-1)</f>
        <v/>
      </c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20" t="n"/>
      <c r="L88" s="18">
        <f>IF(AND(I88&lt;&gt;"",J88&lt;&gt;"",K88&lt;&gt;""),ROUND(K88/ABS(I88-J88),0),"")</f>
        <v/>
      </c>
      <c r="M88" s="20" t="n"/>
      <c r="N88" s="19" t="n"/>
      <c r="O88" s="19" t="n"/>
      <c r="P88" s="19" t="n"/>
      <c r="Q88" s="21">
        <f>IF(AND(M88&lt;&gt;"",I88&lt;&gt;""),IF(E88="LONG",M88-I88,I88-M88),"")</f>
        <v/>
      </c>
      <c r="R88" s="21">
        <f>IF(AND(Q88&lt;&gt;"",I88&lt;&gt;"",J88&lt;&gt;""),Q88/ABS(I88-J88),"")</f>
        <v/>
      </c>
      <c r="S88" s="22">
        <f>IF(AND(R88&lt;&gt;"",K88&lt;&gt;""),R88*K88,"")</f>
        <v/>
      </c>
      <c r="T88" s="21">
        <f>IF(R88&lt;&gt;"",T87+R88,"")</f>
        <v/>
      </c>
      <c r="U88" s="19" t="n"/>
    </row>
    <row r="89" ht="15" customHeight="1" s="16">
      <c r="A89" s="18">
        <f>IF(B89="","",ROW()-1)</f>
        <v/>
      </c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20" t="n"/>
      <c r="L89" s="18">
        <f>IF(AND(I89&lt;&gt;"",J89&lt;&gt;"",K89&lt;&gt;""),ROUND(K89/ABS(I89-J89),0),"")</f>
        <v/>
      </c>
      <c r="M89" s="20" t="n"/>
      <c r="N89" s="19" t="n"/>
      <c r="O89" s="19" t="n"/>
      <c r="P89" s="19" t="n"/>
      <c r="Q89" s="21">
        <f>IF(AND(M89&lt;&gt;"",I89&lt;&gt;""),IF(E89="LONG",M89-I89,I89-M89),"")</f>
        <v/>
      </c>
      <c r="R89" s="21">
        <f>IF(AND(Q89&lt;&gt;"",I89&lt;&gt;"",J89&lt;&gt;""),Q89/ABS(I89-J89),"")</f>
        <v/>
      </c>
      <c r="S89" s="22">
        <f>IF(AND(R89&lt;&gt;"",K89&lt;&gt;""),R89*K89,"")</f>
        <v/>
      </c>
      <c r="T89" s="21">
        <f>IF(R89&lt;&gt;"",T88+R89,"")</f>
        <v/>
      </c>
      <c r="U89" s="19" t="n"/>
    </row>
    <row r="90" ht="15" customHeight="1" s="16">
      <c r="A90" s="18">
        <f>IF(B90="","",ROW()-1)</f>
        <v/>
      </c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20" t="n"/>
      <c r="L90" s="18">
        <f>IF(AND(I90&lt;&gt;"",J90&lt;&gt;"",K90&lt;&gt;""),ROUND(K90/ABS(I90-J90),0),"")</f>
        <v/>
      </c>
      <c r="M90" s="20" t="n"/>
      <c r="N90" s="19" t="n"/>
      <c r="O90" s="19" t="n"/>
      <c r="P90" s="19" t="n"/>
      <c r="Q90" s="21">
        <f>IF(AND(M90&lt;&gt;"",I90&lt;&gt;""),IF(E90="LONG",M90-I90,I90-M90),"")</f>
        <v/>
      </c>
      <c r="R90" s="21">
        <f>IF(AND(Q90&lt;&gt;"",I90&lt;&gt;"",J90&lt;&gt;""),Q90/ABS(I90-J90),"")</f>
        <v/>
      </c>
      <c r="S90" s="22">
        <f>IF(AND(R90&lt;&gt;"",K90&lt;&gt;""),R90*K90,"")</f>
        <v/>
      </c>
      <c r="T90" s="21">
        <f>IF(R90&lt;&gt;"",T89+R90,"")</f>
        <v/>
      </c>
      <c r="U90" s="19" t="n"/>
    </row>
    <row r="91" ht="15" customHeight="1" s="16">
      <c r="A91" s="18">
        <f>IF(B91="","",ROW()-1)</f>
        <v/>
      </c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20" t="n"/>
      <c r="L91" s="18">
        <f>IF(AND(I91&lt;&gt;"",J91&lt;&gt;"",K91&lt;&gt;""),ROUND(K91/ABS(I91-J91),0),"")</f>
        <v/>
      </c>
      <c r="M91" s="20" t="n"/>
      <c r="N91" s="19" t="n"/>
      <c r="O91" s="19" t="n"/>
      <c r="P91" s="19" t="n"/>
      <c r="Q91" s="21">
        <f>IF(AND(M91&lt;&gt;"",I91&lt;&gt;""),IF(E91="LONG",M91-I91,I91-M91),"")</f>
        <v/>
      </c>
      <c r="R91" s="21">
        <f>IF(AND(Q91&lt;&gt;"",I91&lt;&gt;"",J91&lt;&gt;""),Q91/ABS(I91-J91),"")</f>
        <v/>
      </c>
      <c r="S91" s="22">
        <f>IF(AND(R91&lt;&gt;"",K91&lt;&gt;""),R91*K91,"")</f>
        <v/>
      </c>
      <c r="T91" s="21">
        <f>IF(R91&lt;&gt;"",T90+R91,"")</f>
        <v/>
      </c>
      <c r="U91" s="19" t="n"/>
    </row>
    <row r="92" ht="15" customHeight="1" s="16">
      <c r="A92" s="18">
        <f>IF(B92="","",ROW()-1)</f>
        <v/>
      </c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20" t="n"/>
      <c r="L92" s="18">
        <f>IF(AND(I92&lt;&gt;"",J92&lt;&gt;"",K92&lt;&gt;""),ROUND(K92/ABS(I92-J92),0),"")</f>
        <v/>
      </c>
      <c r="M92" s="20" t="n"/>
      <c r="N92" s="19" t="n"/>
      <c r="O92" s="19" t="n"/>
      <c r="P92" s="19" t="n"/>
      <c r="Q92" s="21">
        <f>IF(AND(M92&lt;&gt;"",I92&lt;&gt;""),IF(E92="LONG",M92-I92,I92-M92),"")</f>
        <v/>
      </c>
      <c r="R92" s="21">
        <f>IF(AND(Q92&lt;&gt;"",I92&lt;&gt;"",J92&lt;&gt;""),Q92/ABS(I92-J92),"")</f>
        <v/>
      </c>
      <c r="S92" s="22">
        <f>IF(AND(R92&lt;&gt;"",K92&lt;&gt;""),R92*K92,"")</f>
        <v/>
      </c>
      <c r="T92" s="21">
        <f>IF(R92&lt;&gt;"",T91+R92,"")</f>
        <v/>
      </c>
      <c r="U92" s="19" t="n"/>
    </row>
    <row r="93" ht="15" customHeight="1" s="16">
      <c r="A93" s="18">
        <f>IF(B93="","",ROW()-1)</f>
        <v/>
      </c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20" t="n"/>
      <c r="L93" s="18">
        <f>IF(AND(I93&lt;&gt;"",J93&lt;&gt;"",K93&lt;&gt;""),ROUND(K93/ABS(I93-J93),0),"")</f>
        <v/>
      </c>
      <c r="M93" s="20" t="n"/>
      <c r="N93" s="19" t="n"/>
      <c r="O93" s="19" t="n"/>
      <c r="P93" s="19" t="n"/>
      <c r="Q93" s="21">
        <f>IF(AND(M93&lt;&gt;"",I93&lt;&gt;""),IF(E93="LONG",M93-I93,I93-M93),"")</f>
        <v/>
      </c>
      <c r="R93" s="21">
        <f>IF(AND(Q93&lt;&gt;"",I93&lt;&gt;"",J93&lt;&gt;""),Q93/ABS(I93-J93),"")</f>
        <v/>
      </c>
      <c r="S93" s="22">
        <f>IF(AND(R93&lt;&gt;"",K93&lt;&gt;""),R93*K93,"")</f>
        <v/>
      </c>
      <c r="T93" s="21">
        <f>IF(R93&lt;&gt;"",T92+R93,"")</f>
        <v/>
      </c>
      <c r="U93" s="19" t="n"/>
    </row>
    <row r="94" ht="15" customHeight="1" s="16">
      <c r="A94" s="18">
        <f>IF(B94="","",ROW()-1)</f>
        <v/>
      </c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20" t="n"/>
      <c r="L94" s="18">
        <f>IF(AND(I94&lt;&gt;"",J94&lt;&gt;"",K94&lt;&gt;""),ROUND(K94/ABS(I94-J94),0),"")</f>
        <v/>
      </c>
      <c r="M94" s="20" t="n"/>
      <c r="N94" s="19" t="n"/>
      <c r="O94" s="19" t="n"/>
      <c r="P94" s="19" t="n"/>
      <c r="Q94" s="21">
        <f>IF(AND(M94&lt;&gt;"",I94&lt;&gt;""),IF(E94="LONG",M94-I94,I94-M94),"")</f>
        <v/>
      </c>
      <c r="R94" s="21">
        <f>IF(AND(Q94&lt;&gt;"",I94&lt;&gt;"",J94&lt;&gt;""),Q94/ABS(I94-J94),"")</f>
        <v/>
      </c>
      <c r="S94" s="22">
        <f>IF(AND(R94&lt;&gt;"",K94&lt;&gt;""),R94*K94,"")</f>
        <v/>
      </c>
      <c r="T94" s="21">
        <f>IF(R94&lt;&gt;"",T93+R94,"")</f>
        <v/>
      </c>
      <c r="U94" s="19" t="n"/>
    </row>
    <row r="95" ht="15" customHeight="1" s="16">
      <c r="A95" s="18">
        <f>IF(B95="","",ROW()-1)</f>
        <v/>
      </c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20" t="n"/>
      <c r="L95" s="18">
        <f>IF(AND(I95&lt;&gt;"",J95&lt;&gt;"",K95&lt;&gt;""),ROUND(K95/ABS(I95-J95),0),"")</f>
        <v/>
      </c>
      <c r="M95" s="20" t="n"/>
      <c r="N95" s="19" t="n"/>
      <c r="O95" s="19" t="n"/>
      <c r="P95" s="19" t="n"/>
      <c r="Q95" s="21">
        <f>IF(AND(M95&lt;&gt;"",I95&lt;&gt;""),IF(E95="LONG",M95-I95,I95-M95),"")</f>
        <v/>
      </c>
      <c r="R95" s="21">
        <f>IF(AND(Q95&lt;&gt;"",I95&lt;&gt;"",J95&lt;&gt;""),Q95/ABS(I95-J95),"")</f>
        <v/>
      </c>
      <c r="S95" s="22">
        <f>IF(AND(R95&lt;&gt;"",K95&lt;&gt;""),R95*K95,"")</f>
        <v/>
      </c>
      <c r="T95" s="21">
        <f>IF(R95&lt;&gt;"",T94+R95,"")</f>
        <v/>
      </c>
      <c r="U95" s="19" t="n"/>
    </row>
    <row r="96" ht="15" customHeight="1" s="16">
      <c r="A96" s="18">
        <f>IF(B96="","",ROW()-1)</f>
        <v/>
      </c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20" t="n"/>
      <c r="L96" s="18">
        <f>IF(AND(I96&lt;&gt;"",J96&lt;&gt;"",K96&lt;&gt;""),ROUND(K96/ABS(I96-J96),0),"")</f>
        <v/>
      </c>
      <c r="M96" s="20" t="n"/>
      <c r="N96" s="19" t="n"/>
      <c r="O96" s="19" t="n"/>
      <c r="P96" s="19" t="n"/>
      <c r="Q96" s="21">
        <f>IF(AND(M96&lt;&gt;"",I96&lt;&gt;""),IF(E96="LONG",M96-I96,I96-M96),"")</f>
        <v/>
      </c>
      <c r="R96" s="21">
        <f>IF(AND(Q96&lt;&gt;"",I96&lt;&gt;"",J96&lt;&gt;""),Q96/ABS(I96-J96),"")</f>
        <v/>
      </c>
      <c r="S96" s="22">
        <f>IF(AND(R96&lt;&gt;"",K96&lt;&gt;""),R96*K96,"")</f>
        <v/>
      </c>
      <c r="T96" s="21">
        <f>IF(R96&lt;&gt;"",T95+R96,"")</f>
        <v/>
      </c>
      <c r="U96" s="19" t="n"/>
    </row>
    <row r="97" ht="15" customHeight="1" s="16">
      <c r="A97" s="18">
        <f>IF(B97="","",ROW()-1)</f>
        <v/>
      </c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20" t="n"/>
      <c r="L97" s="18">
        <f>IF(AND(I97&lt;&gt;"",J97&lt;&gt;"",K97&lt;&gt;""),ROUND(K97/ABS(I97-J97),0),"")</f>
        <v/>
      </c>
      <c r="M97" s="20" t="n"/>
      <c r="N97" s="19" t="n"/>
      <c r="O97" s="19" t="n"/>
      <c r="P97" s="19" t="n"/>
      <c r="Q97" s="21">
        <f>IF(AND(M97&lt;&gt;"",I97&lt;&gt;""),IF(E97="LONG",M97-I97,I97-M97),"")</f>
        <v/>
      </c>
      <c r="R97" s="21">
        <f>IF(AND(Q97&lt;&gt;"",I97&lt;&gt;"",J97&lt;&gt;""),Q97/ABS(I97-J97),"")</f>
        <v/>
      </c>
      <c r="S97" s="22">
        <f>IF(AND(R97&lt;&gt;"",K97&lt;&gt;""),R97*K97,"")</f>
        <v/>
      </c>
      <c r="T97" s="21">
        <f>IF(R97&lt;&gt;"",T96+R97,"")</f>
        <v/>
      </c>
      <c r="U97" s="19" t="n"/>
    </row>
    <row r="98" ht="15" customHeight="1" s="16">
      <c r="A98" s="18">
        <f>IF(B98="","",ROW()-1)</f>
        <v/>
      </c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20" t="n"/>
      <c r="L98" s="18">
        <f>IF(AND(I98&lt;&gt;"",J98&lt;&gt;"",K98&lt;&gt;""),ROUND(K98/ABS(I98-J98),0),"")</f>
        <v/>
      </c>
      <c r="M98" s="20" t="n"/>
      <c r="N98" s="19" t="n"/>
      <c r="O98" s="19" t="n"/>
      <c r="P98" s="19" t="n"/>
      <c r="Q98" s="21">
        <f>IF(AND(M98&lt;&gt;"",I98&lt;&gt;""),IF(E98="LONG",M98-I98,I98-M98),"")</f>
        <v/>
      </c>
      <c r="R98" s="21">
        <f>IF(AND(Q98&lt;&gt;"",I98&lt;&gt;"",J98&lt;&gt;""),Q98/ABS(I98-J98),"")</f>
        <v/>
      </c>
      <c r="S98" s="22">
        <f>IF(AND(R98&lt;&gt;"",K98&lt;&gt;""),R98*K98,"")</f>
        <v/>
      </c>
      <c r="T98" s="21">
        <f>IF(R98&lt;&gt;"",T97+R98,"")</f>
        <v/>
      </c>
      <c r="U98" s="19" t="n"/>
    </row>
    <row r="99" ht="15" customHeight="1" s="16">
      <c r="A99" s="18">
        <f>IF(B99="","",ROW()-1)</f>
        <v/>
      </c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20" t="n"/>
      <c r="L99" s="18">
        <f>IF(AND(I99&lt;&gt;"",J99&lt;&gt;"",K99&lt;&gt;""),ROUND(K99/ABS(I99-J99),0),"")</f>
        <v/>
      </c>
      <c r="M99" s="20" t="n"/>
      <c r="N99" s="19" t="n"/>
      <c r="O99" s="19" t="n"/>
      <c r="P99" s="19" t="n"/>
      <c r="Q99" s="21">
        <f>IF(AND(M99&lt;&gt;"",I99&lt;&gt;""),IF(E99="LONG",M99-I99,I99-M99),"")</f>
        <v/>
      </c>
      <c r="R99" s="21">
        <f>IF(AND(Q99&lt;&gt;"",I99&lt;&gt;"",J99&lt;&gt;""),Q99/ABS(I99-J99),"")</f>
        <v/>
      </c>
      <c r="S99" s="22">
        <f>IF(AND(R99&lt;&gt;"",K99&lt;&gt;""),R99*K99,"")</f>
        <v/>
      </c>
      <c r="T99" s="21">
        <f>IF(R99&lt;&gt;"",T98+R99,"")</f>
        <v/>
      </c>
      <c r="U99" s="19" t="n"/>
    </row>
    <row r="100" ht="15" customHeight="1" s="16">
      <c r="A100" s="18">
        <f>IF(B100="","",ROW()-1)</f>
        <v/>
      </c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20" t="n"/>
      <c r="L100" s="18">
        <f>IF(AND(I100&lt;&gt;"",J100&lt;&gt;"",K100&lt;&gt;""),ROUND(K100/ABS(I100-J100),0),"")</f>
        <v/>
      </c>
      <c r="M100" s="20" t="n"/>
      <c r="N100" s="19" t="n"/>
      <c r="O100" s="19" t="n"/>
      <c r="P100" s="19" t="n"/>
      <c r="Q100" s="21">
        <f>IF(AND(M100&lt;&gt;"",I100&lt;&gt;""),IF(E100="LONG",M100-I100,I100-M100),"")</f>
        <v/>
      </c>
      <c r="R100" s="21">
        <f>IF(AND(Q100&lt;&gt;"",I100&lt;&gt;"",J100&lt;&gt;""),Q100/ABS(I100-J100),"")</f>
        <v/>
      </c>
      <c r="S100" s="22">
        <f>IF(AND(R100&lt;&gt;"",K100&lt;&gt;""),R100*K100,"")</f>
        <v/>
      </c>
      <c r="T100" s="21">
        <f>IF(R100&lt;&gt;"",T99+R100,"")</f>
        <v/>
      </c>
      <c r="U100" s="19" t="n"/>
    </row>
    <row r="101" ht="15" customHeight="1" s="16">
      <c r="A101" s="18">
        <f>IF(B101="","",ROW()-1)</f>
        <v/>
      </c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20" t="n"/>
      <c r="L101" s="18">
        <f>IF(AND(I101&lt;&gt;"",J101&lt;&gt;"",K101&lt;&gt;""),ROUND(K101/ABS(I101-J101),0),"")</f>
        <v/>
      </c>
      <c r="M101" s="20" t="n"/>
      <c r="N101" s="19" t="n"/>
      <c r="O101" s="19" t="n"/>
      <c r="P101" s="19" t="n"/>
      <c r="Q101" s="21">
        <f>IF(AND(M101&lt;&gt;"",I101&lt;&gt;""),IF(E101="LONG",M101-I101,I101-M101),"")</f>
        <v/>
      </c>
      <c r="R101" s="21">
        <f>IF(AND(Q101&lt;&gt;"",I101&lt;&gt;"",J101&lt;&gt;""),Q101/ABS(I101-J101),"")</f>
        <v/>
      </c>
      <c r="S101" s="22">
        <f>IF(AND(R101&lt;&gt;"",K101&lt;&gt;""),R101*K101,"")</f>
        <v/>
      </c>
      <c r="T101" s="21">
        <f>IF(R101&lt;&gt;"",T100+R101,"")</f>
        <v/>
      </c>
      <c r="U101" s="19" t="n"/>
    </row>
    <row r="102" ht="15" customHeight="1" s="16">
      <c r="A102" s="18">
        <f>IF(B102="","",ROW()-1)</f>
        <v/>
      </c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20" t="n"/>
      <c r="L102" s="18">
        <f>IF(AND(I102&lt;&gt;"",J102&lt;&gt;"",K102&lt;&gt;""),ROUND(K102/ABS(I102-J102),0),"")</f>
        <v/>
      </c>
      <c r="M102" s="20" t="n"/>
      <c r="N102" s="19" t="n"/>
      <c r="O102" s="19" t="n"/>
      <c r="P102" s="19" t="n"/>
      <c r="Q102" s="21">
        <f>IF(AND(M102&lt;&gt;"",I102&lt;&gt;""),IF(E102="LONG",M102-I102,I102-M102),"")</f>
        <v/>
      </c>
      <c r="R102" s="21">
        <f>IF(AND(Q102&lt;&gt;"",I102&lt;&gt;"",J102&lt;&gt;""),Q102/ABS(I102-J102),"")</f>
        <v/>
      </c>
      <c r="S102" s="22">
        <f>IF(AND(R102&lt;&gt;"",K102&lt;&gt;""),R102*K102,"")</f>
        <v/>
      </c>
      <c r="T102" s="21">
        <f>IF(R102&lt;&gt;"",T101+R102,"")</f>
        <v/>
      </c>
      <c r="U102" s="19" t="n"/>
    </row>
    <row r="103" ht="15" customHeight="1" s="16">
      <c r="A103" s="18">
        <f>IF(B103="","",ROW()-1)</f>
        <v/>
      </c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20" t="n"/>
      <c r="L103" s="18">
        <f>IF(AND(I103&lt;&gt;"",J103&lt;&gt;"",K103&lt;&gt;""),ROUND(K103/ABS(I103-J103),0),"")</f>
        <v/>
      </c>
      <c r="M103" s="20" t="n"/>
      <c r="N103" s="19" t="n"/>
      <c r="O103" s="19" t="n"/>
      <c r="P103" s="19" t="n"/>
      <c r="Q103" s="21">
        <f>IF(AND(M103&lt;&gt;"",I103&lt;&gt;""),IF(E103="LONG",M103-I103,I103-M103),"")</f>
        <v/>
      </c>
      <c r="R103" s="21">
        <f>IF(AND(Q103&lt;&gt;"",I103&lt;&gt;"",J103&lt;&gt;""),Q103/ABS(I103-J103),"")</f>
        <v/>
      </c>
      <c r="S103" s="22">
        <f>IF(AND(R103&lt;&gt;"",K103&lt;&gt;""),R103*K103,"")</f>
        <v/>
      </c>
      <c r="T103" s="21">
        <f>IF(R103&lt;&gt;"",T102+R103,"")</f>
        <v/>
      </c>
      <c r="U103" s="19" t="n"/>
    </row>
    <row r="104" ht="15" customHeight="1" s="16">
      <c r="A104" s="18">
        <f>IF(B104="","",ROW()-1)</f>
        <v/>
      </c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20" t="n"/>
      <c r="L104" s="18">
        <f>IF(AND(I104&lt;&gt;"",J104&lt;&gt;"",K104&lt;&gt;""),ROUND(K104/ABS(I104-J104),0),"")</f>
        <v/>
      </c>
      <c r="M104" s="20" t="n"/>
      <c r="N104" s="19" t="n"/>
      <c r="O104" s="19" t="n"/>
      <c r="P104" s="19" t="n"/>
      <c r="Q104" s="21">
        <f>IF(AND(M104&lt;&gt;"",I104&lt;&gt;""),IF(E104="LONG",M104-I104,I104-M104),"")</f>
        <v/>
      </c>
      <c r="R104" s="21">
        <f>IF(AND(Q104&lt;&gt;"",I104&lt;&gt;"",J104&lt;&gt;""),Q104/ABS(I104-J104),"")</f>
        <v/>
      </c>
      <c r="S104" s="22">
        <f>IF(AND(R104&lt;&gt;"",K104&lt;&gt;""),R104*K104,"")</f>
        <v/>
      </c>
      <c r="T104" s="21">
        <f>IF(R104&lt;&gt;"",T103+R104,"")</f>
        <v/>
      </c>
      <c r="U104" s="19" t="n"/>
    </row>
    <row r="105" ht="15" customHeight="1" s="16">
      <c r="A105" s="18">
        <f>IF(B105="","",ROW()-1)</f>
        <v/>
      </c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20" t="n"/>
      <c r="L105" s="18">
        <f>IF(AND(I105&lt;&gt;"",J105&lt;&gt;"",K105&lt;&gt;""),ROUND(K105/ABS(I105-J105),0),"")</f>
        <v/>
      </c>
      <c r="M105" s="20" t="n"/>
      <c r="N105" s="19" t="n"/>
      <c r="O105" s="19" t="n"/>
      <c r="P105" s="19" t="n"/>
      <c r="Q105" s="21">
        <f>IF(AND(M105&lt;&gt;"",I105&lt;&gt;""),IF(E105="LONG",M105-I105,I105-M105),"")</f>
        <v/>
      </c>
      <c r="R105" s="21">
        <f>IF(AND(Q105&lt;&gt;"",I105&lt;&gt;"",J105&lt;&gt;""),Q105/ABS(I105-J105),"")</f>
        <v/>
      </c>
      <c r="S105" s="22">
        <f>IF(AND(R105&lt;&gt;"",K105&lt;&gt;""),R105*K105,"")</f>
        <v/>
      </c>
      <c r="T105" s="21">
        <f>IF(R105&lt;&gt;"",T104+R105,"")</f>
        <v/>
      </c>
      <c r="U105" s="19" t="n"/>
    </row>
    <row r="106" ht="15" customHeight="1" s="16">
      <c r="A106" s="18">
        <f>IF(B106="","",ROW()-1)</f>
        <v/>
      </c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20" t="n"/>
      <c r="L106" s="18">
        <f>IF(AND(I106&lt;&gt;"",J106&lt;&gt;"",K106&lt;&gt;""),ROUND(K106/ABS(I106-J106),0),"")</f>
        <v/>
      </c>
      <c r="M106" s="20" t="n"/>
      <c r="N106" s="19" t="n"/>
      <c r="O106" s="19" t="n"/>
      <c r="P106" s="19" t="n"/>
      <c r="Q106" s="21">
        <f>IF(AND(M106&lt;&gt;"",I106&lt;&gt;""),IF(E106="LONG",M106-I106,I106-M106),"")</f>
        <v/>
      </c>
      <c r="R106" s="21">
        <f>IF(AND(Q106&lt;&gt;"",I106&lt;&gt;"",J106&lt;&gt;""),Q106/ABS(I106-J106),"")</f>
        <v/>
      </c>
      <c r="S106" s="22">
        <f>IF(AND(R106&lt;&gt;"",K106&lt;&gt;""),R106*K106,"")</f>
        <v/>
      </c>
      <c r="T106" s="21">
        <f>IF(R106&lt;&gt;"",T105+R106,"")</f>
        <v/>
      </c>
      <c r="U106" s="19" t="n"/>
    </row>
    <row r="107" ht="15" customHeight="1" s="16">
      <c r="A107" s="18">
        <f>IF(B107="","",ROW()-1)</f>
        <v/>
      </c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20" t="n"/>
      <c r="L107" s="18">
        <f>IF(AND(I107&lt;&gt;"",J107&lt;&gt;"",K107&lt;&gt;""),ROUND(K107/ABS(I107-J107),0),"")</f>
        <v/>
      </c>
      <c r="M107" s="20" t="n"/>
      <c r="N107" s="19" t="n"/>
      <c r="O107" s="19" t="n"/>
      <c r="P107" s="19" t="n"/>
      <c r="Q107" s="21">
        <f>IF(AND(M107&lt;&gt;"",I107&lt;&gt;""),IF(E107="LONG",M107-I107,I107-M107),"")</f>
        <v/>
      </c>
      <c r="R107" s="21">
        <f>IF(AND(Q107&lt;&gt;"",I107&lt;&gt;"",J107&lt;&gt;""),Q107/ABS(I107-J107),"")</f>
        <v/>
      </c>
      <c r="S107" s="22">
        <f>IF(AND(R107&lt;&gt;"",K107&lt;&gt;""),R107*K107,"")</f>
        <v/>
      </c>
      <c r="T107" s="21">
        <f>IF(R107&lt;&gt;"",T106+R107,"")</f>
        <v/>
      </c>
      <c r="U107" s="19" t="n"/>
    </row>
    <row r="108" ht="15" customHeight="1" s="16">
      <c r="A108" s="18">
        <f>IF(B108="","",ROW()-1)</f>
        <v/>
      </c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20" t="n"/>
      <c r="L108" s="18">
        <f>IF(AND(I108&lt;&gt;"",J108&lt;&gt;"",K108&lt;&gt;""),ROUND(K108/ABS(I108-J108),0),"")</f>
        <v/>
      </c>
      <c r="M108" s="20" t="n"/>
      <c r="N108" s="19" t="n"/>
      <c r="O108" s="19" t="n"/>
      <c r="P108" s="19" t="n"/>
      <c r="Q108" s="21">
        <f>IF(AND(M108&lt;&gt;"",I108&lt;&gt;""),IF(E108="LONG",M108-I108,I108-M108),"")</f>
        <v/>
      </c>
      <c r="R108" s="21">
        <f>IF(AND(Q108&lt;&gt;"",I108&lt;&gt;"",J108&lt;&gt;""),Q108/ABS(I108-J108),"")</f>
        <v/>
      </c>
      <c r="S108" s="22">
        <f>IF(AND(R108&lt;&gt;"",K108&lt;&gt;""),R108*K108,"")</f>
        <v/>
      </c>
      <c r="T108" s="21">
        <f>IF(R108&lt;&gt;"",T107+R108,"")</f>
        <v/>
      </c>
      <c r="U108" s="19" t="n"/>
    </row>
    <row r="109" ht="15" customHeight="1" s="16">
      <c r="A109" s="18">
        <f>IF(B109="","",ROW()-1)</f>
        <v/>
      </c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20" t="n"/>
      <c r="L109" s="18">
        <f>IF(AND(I109&lt;&gt;"",J109&lt;&gt;"",K109&lt;&gt;""),ROUND(K109/ABS(I109-J109),0),"")</f>
        <v/>
      </c>
      <c r="M109" s="20" t="n"/>
      <c r="N109" s="19" t="n"/>
      <c r="O109" s="19" t="n"/>
      <c r="P109" s="19" t="n"/>
      <c r="Q109" s="21">
        <f>IF(AND(M109&lt;&gt;"",I109&lt;&gt;""),IF(E109="LONG",M109-I109,I109-M109),"")</f>
        <v/>
      </c>
      <c r="R109" s="21">
        <f>IF(AND(Q109&lt;&gt;"",I109&lt;&gt;"",J109&lt;&gt;""),Q109/ABS(I109-J109),"")</f>
        <v/>
      </c>
      <c r="S109" s="22">
        <f>IF(AND(R109&lt;&gt;"",K109&lt;&gt;""),R109*K109,"")</f>
        <v/>
      </c>
      <c r="T109" s="21">
        <f>IF(R109&lt;&gt;"",T108+R109,"")</f>
        <v/>
      </c>
      <c r="U109" s="19" t="n"/>
    </row>
    <row r="110" ht="15" customHeight="1" s="16">
      <c r="A110" s="18">
        <f>IF(B110="","",ROW()-1)</f>
        <v/>
      </c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20" t="n"/>
      <c r="L110" s="18">
        <f>IF(AND(I110&lt;&gt;"",J110&lt;&gt;"",K110&lt;&gt;""),ROUND(K110/ABS(I110-J110),0),"")</f>
        <v/>
      </c>
      <c r="M110" s="20" t="n"/>
      <c r="N110" s="19" t="n"/>
      <c r="O110" s="19" t="n"/>
      <c r="P110" s="19" t="n"/>
      <c r="Q110" s="21">
        <f>IF(AND(M110&lt;&gt;"",I110&lt;&gt;""),IF(E110="LONG",M110-I110,I110-M110),"")</f>
        <v/>
      </c>
      <c r="R110" s="21">
        <f>IF(AND(Q110&lt;&gt;"",I110&lt;&gt;"",J110&lt;&gt;""),Q110/ABS(I110-J110),"")</f>
        <v/>
      </c>
      <c r="S110" s="22">
        <f>IF(AND(R110&lt;&gt;"",K110&lt;&gt;""),R110*K110,"")</f>
        <v/>
      </c>
      <c r="T110" s="21">
        <f>IF(R110&lt;&gt;"",T109+R110,"")</f>
        <v/>
      </c>
      <c r="U110" s="19" t="n"/>
    </row>
    <row r="111" ht="15" customHeight="1" s="16">
      <c r="A111" s="18">
        <f>IF(B111="","",ROW()-1)</f>
        <v/>
      </c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20" t="n"/>
      <c r="L111" s="18">
        <f>IF(AND(I111&lt;&gt;"",J111&lt;&gt;"",K111&lt;&gt;""),ROUND(K111/ABS(I111-J111),0),"")</f>
        <v/>
      </c>
      <c r="M111" s="20" t="n"/>
      <c r="N111" s="19" t="n"/>
      <c r="O111" s="19" t="n"/>
      <c r="P111" s="19" t="n"/>
      <c r="Q111" s="21">
        <f>IF(AND(M111&lt;&gt;"",I111&lt;&gt;""),IF(E111="LONG",M111-I111,I111-M111),"")</f>
        <v/>
      </c>
      <c r="R111" s="21">
        <f>IF(AND(Q111&lt;&gt;"",I111&lt;&gt;"",J111&lt;&gt;""),Q111/ABS(I111-J111),"")</f>
        <v/>
      </c>
      <c r="S111" s="22">
        <f>IF(AND(R111&lt;&gt;"",K111&lt;&gt;""),R111*K111,"")</f>
        <v/>
      </c>
      <c r="T111" s="21">
        <f>IF(R111&lt;&gt;"",T110+R111,"")</f>
        <v/>
      </c>
      <c r="U111" s="19" t="n"/>
    </row>
    <row r="112" ht="15" customHeight="1" s="16">
      <c r="A112" s="18">
        <f>IF(B112="","",ROW()-1)</f>
        <v/>
      </c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20" t="n"/>
      <c r="L112" s="18">
        <f>IF(AND(I112&lt;&gt;"",J112&lt;&gt;"",K112&lt;&gt;""),ROUND(K112/ABS(I112-J112),0),"")</f>
        <v/>
      </c>
      <c r="M112" s="20" t="n"/>
      <c r="N112" s="19" t="n"/>
      <c r="O112" s="19" t="n"/>
      <c r="P112" s="19" t="n"/>
      <c r="Q112" s="21">
        <f>IF(AND(M112&lt;&gt;"",I112&lt;&gt;""),IF(E112="LONG",M112-I112,I112-M112),"")</f>
        <v/>
      </c>
      <c r="R112" s="21">
        <f>IF(AND(Q112&lt;&gt;"",I112&lt;&gt;"",J112&lt;&gt;""),Q112/ABS(I112-J112),"")</f>
        <v/>
      </c>
      <c r="S112" s="22">
        <f>IF(AND(R112&lt;&gt;"",K112&lt;&gt;""),R112*K112,"")</f>
        <v/>
      </c>
      <c r="T112" s="21">
        <f>IF(R112&lt;&gt;"",T111+R112,"")</f>
        <v/>
      </c>
      <c r="U112" s="19" t="n"/>
    </row>
    <row r="113" ht="15" customHeight="1" s="16">
      <c r="A113" s="18">
        <f>IF(B113="","",ROW()-1)</f>
        <v/>
      </c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20" t="n"/>
      <c r="L113" s="18">
        <f>IF(AND(I113&lt;&gt;"",J113&lt;&gt;"",K113&lt;&gt;""),ROUND(K113/ABS(I113-J113),0),"")</f>
        <v/>
      </c>
      <c r="M113" s="20" t="n"/>
      <c r="N113" s="19" t="n"/>
      <c r="O113" s="19" t="n"/>
      <c r="P113" s="19" t="n"/>
      <c r="Q113" s="21">
        <f>IF(AND(M113&lt;&gt;"",I113&lt;&gt;""),IF(E113="LONG",M113-I113,I113-M113),"")</f>
        <v/>
      </c>
      <c r="R113" s="21">
        <f>IF(AND(Q113&lt;&gt;"",I113&lt;&gt;"",J113&lt;&gt;""),Q113/ABS(I113-J113),"")</f>
        <v/>
      </c>
      <c r="S113" s="22">
        <f>IF(AND(R113&lt;&gt;"",K113&lt;&gt;""),R113*K113,"")</f>
        <v/>
      </c>
      <c r="T113" s="21">
        <f>IF(R113&lt;&gt;"",T112+R113,"")</f>
        <v/>
      </c>
      <c r="U113" s="19" t="n"/>
    </row>
    <row r="114" ht="15" customHeight="1" s="16">
      <c r="A114" s="18">
        <f>IF(B114="","",ROW()-1)</f>
        <v/>
      </c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20" t="n"/>
      <c r="L114" s="18">
        <f>IF(AND(I114&lt;&gt;"",J114&lt;&gt;"",K114&lt;&gt;""),ROUND(K114/ABS(I114-J114),0),"")</f>
        <v/>
      </c>
      <c r="M114" s="20" t="n"/>
      <c r="N114" s="19" t="n"/>
      <c r="O114" s="19" t="n"/>
      <c r="P114" s="19" t="n"/>
      <c r="Q114" s="21">
        <f>IF(AND(M114&lt;&gt;"",I114&lt;&gt;""),IF(E114="LONG",M114-I114,I114-M114),"")</f>
        <v/>
      </c>
      <c r="R114" s="21">
        <f>IF(AND(Q114&lt;&gt;"",I114&lt;&gt;"",J114&lt;&gt;""),Q114/ABS(I114-J114),"")</f>
        <v/>
      </c>
      <c r="S114" s="22">
        <f>IF(AND(R114&lt;&gt;"",K114&lt;&gt;""),R114*K114,"")</f>
        <v/>
      </c>
      <c r="T114" s="21">
        <f>IF(R114&lt;&gt;"",T113+R114,"")</f>
        <v/>
      </c>
      <c r="U114" s="19" t="n"/>
    </row>
    <row r="115" ht="15" customHeight="1" s="16">
      <c r="A115" s="18">
        <f>IF(B115="","",ROW()-1)</f>
        <v/>
      </c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20" t="n"/>
      <c r="L115" s="18">
        <f>IF(AND(I115&lt;&gt;"",J115&lt;&gt;"",K115&lt;&gt;""),ROUND(K115/ABS(I115-J115),0),"")</f>
        <v/>
      </c>
      <c r="M115" s="20" t="n"/>
      <c r="N115" s="19" t="n"/>
      <c r="O115" s="19" t="n"/>
      <c r="P115" s="19" t="n"/>
      <c r="Q115" s="21">
        <f>IF(AND(M115&lt;&gt;"",I115&lt;&gt;""),IF(E115="LONG",M115-I115,I115-M115),"")</f>
        <v/>
      </c>
      <c r="R115" s="21">
        <f>IF(AND(Q115&lt;&gt;"",I115&lt;&gt;"",J115&lt;&gt;""),Q115/ABS(I115-J115),"")</f>
        <v/>
      </c>
      <c r="S115" s="22">
        <f>IF(AND(R115&lt;&gt;"",K115&lt;&gt;""),R115*K115,"")</f>
        <v/>
      </c>
      <c r="T115" s="21">
        <f>IF(R115&lt;&gt;"",T114+R115,"")</f>
        <v/>
      </c>
      <c r="U115" s="19" t="n"/>
    </row>
    <row r="116" ht="15" customHeight="1" s="16">
      <c r="A116" s="18">
        <f>IF(B116="","",ROW()-1)</f>
        <v/>
      </c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20" t="n"/>
      <c r="L116" s="18">
        <f>IF(AND(I116&lt;&gt;"",J116&lt;&gt;"",K116&lt;&gt;""),ROUND(K116/ABS(I116-J116),0),"")</f>
        <v/>
      </c>
      <c r="M116" s="20" t="n"/>
      <c r="N116" s="19" t="n"/>
      <c r="O116" s="19" t="n"/>
      <c r="P116" s="19" t="n"/>
      <c r="Q116" s="21">
        <f>IF(AND(M116&lt;&gt;"",I116&lt;&gt;""),IF(E116="LONG",M116-I116,I116-M116),"")</f>
        <v/>
      </c>
      <c r="R116" s="21">
        <f>IF(AND(Q116&lt;&gt;"",I116&lt;&gt;"",J116&lt;&gt;""),Q116/ABS(I116-J116),"")</f>
        <v/>
      </c>
      <c r="S116" s="22">
        <f>IF(AND(R116&lt;&gt;"",K116&lt;&gt;""),R116*K116,"")</f>
        <v/>
      </c>
      <c r="T116" s="21">
        <f>IF(R116&lt;&gt;"",T115+R116,"")</f>
        <v/>
      </c>
      <c r="U116" s="19" t="n"/>
    </row>
    <row r="117" ht="15" customHeight="1" s="16">
      <c r="A117" s="18">
        <f>IF(B117="","",ROW()-1)</f>
        <v/>
      </c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20" t="n"/>
      <c r="L117" s="18">
        <f>IF(AND(I117&lt;&gt;"",J117&lt;&gt;"",K117&lt;&gt;""),ROUND(K117/ABS(I117-J117),0),"")</f>
        <v/>
      </c>
      <c r="M117" s="20" t="n"/>
      <c r="N117" s="19" t="n"/>
      <c r="O117" s="19" t="n"/>
      <c r="P117" s="19" t="n"/>
      <c r="Q117" s="21">
        <f>IF(AND(M117&lt;&gt;"",I117&lt;&gt;""),IF(E117="LONG",M117-I117,I117-M117),"")</f>
        <v/>
      </c>
      <c r="R117" s="21">
        <f>IF(AND(Q117&lt;&gt;"",I117&lt;&gt;"",J117&lt;&gt;""),Q117/ABS(I117-J117),"")</f>
        <v/>
      </c>
      <c r="S117" s="22">
        <f>IF(AND(R117&lt;&gt;"",K117&lt;&gt;""),R117*K117,"")</f>
        <v/>
      </c>
      <c r="T117" s="21">
        <f>IF(R117&lt;&gt;"",T116+R117,"")</f>
        <v/>
      </c>
      <c r="U117" s="19" t="n"/>
    </row>
    <row r="118" ht="15" customHeight="1" s="16">
      <c r="A118" s="18">
        <f>IF(B118="","",ROW()-1)</f>
        <v/>
      </c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20" t="n"/>
      <c r="L118" s="18">
        <f>IF(AND(I118&lt;&gt;"",J118&lt;&gt;"",K118&lt;&gt;""),ROUND(K118/ABS(I118-J118),0),"")</f>
        <v/>
      </c>
      <c r="M118" s="20" t="n"/>
      <c r="N118" s="19" t="n"/>
      <c r="O118" s="19" t="n"/>
      <c r="P118" s="19" t="n"/>
      <c r="Q118" s="21">
        <f>IF(AND(M118&lt;&gt;"",I118&lt;&gt;""),IF(E118="LONG",M118-I118,I118-M118),"")</f>
        <v/>
      </c>
      <c r="R118" s="21">
        <f>IF(AND(Q118&lt;&gt;"",I118&lt;&gt;"",J118&lt;&gt;""),Q118/ABS(I118-J118),"")</f>
        <v/>
      </c>
      <c r="S118" s="22">
        <f>IF(AND(R118&lt;&gt;"",K118&lt;&gt;""),R118*K118,"")</f>
        <v/>
      </c>
      <c r="T118" s="21">
        <f>IF(R118&lt;&gt;"",T117+R118,"")</f>
        <v/>
      </c>
      <c r="U118" s="19" t="n"/>
    </row>
    <row r="119" ht="15" customHeight="1" s="16">
      <c r="A119" s="18">
        <f>IF(B119="","",ROW()-1)</f>
        <v/>
      </c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20" t="n"/>
      <c r="L119" s="18">
        <f>IF(AND(I119&lt;&gt;"",J119&lt;&gt;"",K119&lt;&gt;""),ROUND(K119/ABS(I119-J119),0),"")</f>
        <v/>
      </c>
      <c r="M119" s="20" t="n"/>
      <c r="N119" s="19" t="n"/>
      <c r="O119" s="19" t="n"/>
      <c r="P119" s="19" t="n"/>
      <c r="Q119" s="21">
        <f>IF(AND(M119&lt;&gt;"",I119&lt;&gt;""),IF(E119="LONG",M119-I119,I119-M119),"")</f>
        <v/>
      </c>
      <c r="R119" s="21">
        <f>IF(AND(Q119&lt;&gt;"",I119&lt;&gt;"",J119&lt;&gt;""),Q119/ABS(I119-J119),"")</f>
        <v/>
      </c>
      <c r="S119" s="22">
        <f>IF(AND(R119&lt;&gt;"",K119&lt;&gt;""),R119*K119,"")</f>
        <v/>
      </c>
      <c r="T119" s="21">
        <f>IF(R119&lt;&gt;"",T118+R119,"")</f>
        <v/>
      </c>
      <c r="U119" s="19" t="n"/>
    </row>
    <row r="120" ht="15" customHeight="1" s="16">
      <c r="A120" s="18">
        <f>IF(B120="","",ROW()-1)</f>
        <v/>
      </c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20" t="n"/>
      <c r="L120" s="18">
        <f>IF(AND(I120&lt;&gt;"",J120&lt;&gt;"",K120&lt;&gt;""),ROUND(K120/ABS(I120-J120),0),"")</f>
        <v/>
      </c>
      <c r="M120" s="20" t="n"/>
      <c r="N120" s="19" t="n"/>
      <c r="O120" s="19" t="n"/>
      <c r="P120" s="19" t="n"/>
      <c r="Q120" s="21">
        <f>IF(AND(M120&lt;&gt;"",I120&lt;&gt;""),IF(E120="LONG",M120-I120,I120-M120),"")</f>
        <v/>
      </c>
      <c r="R120" s="21">
        <f>IF(AND(Q120&lt;&gt;"",I120&lt;&gt;"",J120&lt;&gt;""),Q120/ABS(I120-J120),"")</f>
        <v/>
      </c>
      <c r="S120" s="22">
        <f>IF(AND(R120&lt;&gt;"",K120&lt;&gt;""),R120*K120,"")</f>
        <v/>
      </c>
      <c r="T120" s="21">
        <f>IF(R120&lt;&gt;"",T119+R120,"")</f>
        <v/>
      </c>
      <c r="U120" s="19" t="n"/>
    </row>
    <row r="121" ht="15" customHeight="1" s="16">
      <c r="A121" s="18">
        <f>IF(B121="","",ROW()-1)</f>
        <v/>
      </c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20" t="n"/>
      <c r="L121" s="18">
        <f>IF(AND(I121&lt;&gt;"",J121&lt;&gt;"",K121&lt;&gt;""),ROUND(K121/ABS(I121-J121),0),"")</f>
        <v/>
      </c>
      <c r="M121" s="20" t="n"/>
      <c r="N121" s="19" t="n"/>
      <c r="O121" s="19" t="n"/>
      <c r="P121" s="19" t="n"/>
      <c r="Q121" s="21">
        <f>IF(AND(M121&lt;&gt;"",I121&lt;&gt;""),IF(E121="LONG",M121-I121,I121-M121),"")</f>
        <v/>
      </c>
      <c r="R121" s="21">
        <f>IF(AND(Q121&lt;&gt;"",I121&lt;&gt;"",J121&lt;&gt;""),Q121/ABS(I121-J121),"")</f>
        <v/>
      </c>
      <c r="S121" s="22">
        <f>IF(AND(R121&lt;&gt;"",K121&lt;&gt;""),R121*K121,"")</f>
        <v/>
      </c>
      <c r="T121" s="21">
        <f>IF(R121&lt;&gt;"",T120+R121,"")</f>
        <v/>
      </c>
      <c r="U121" s="19" t="n"/>
    </row>
    <row r="122" ht="15" customHeight="1" s="16">
      <c r="A122" s="18">
        <f>IF(B122="","",ROW()-1)</f>
        <v/>
      </c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20" t="n"/>
      <c r="L122" s="18">
        <f>IF(AND(I122&lt;&gt;"",J122&lt;&gt;"",K122&lt;&gt;""),ROUND(K122/ABS(I122-J122),0),"")</f>
        <v/>
      </c>
      <c r="M122" s="20" t="n"/>
      <c r="N122" s="19" t="n"/>
      <c r="O122" s="19" t="n"/>
      <c r="P122" s="19" t="n"/>
      <c r="Q122" s="21">
        <f>IF(AND(M122&lt;&gt;"",I122&lt;&gt;""),IF(E122="LONG",M122-I122,I122-M122),"")</f>
        <v/>
      </c>
      <c r="R122" s="21">
        <f>IF(AND(Q122&lt;&gt;"",I122&lt;&gt;"",J122&lt;&gt;""),Q122/ABS(I122-J122),"")</f>
        <v/>
      </c>
      <c r="S122" s="22">
        <f>IF(AND(R122&lt;&gt;"",K122&lt;&gt;""),R122*K122,"")</f>
        <v/>
      </c>
      <c r="T122" s="21">
        <f>IF(R122&lt;&gt;"",T121+R122,"")</f>
        <v/>
      </c>
      <c r="U122" s="19" t="n"/>
    </row>
    <row r="123" ht="15" customHeight="1" s="16">
      <c r="A123" s="18">
        <f>IF(B123="","",ROW()-1)</f>
        <v/>
      </c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20" t="n"/>
      <c r="L123" s="18">
        <f>IF(AND(I123&lt;&gt;"",J123&lt;&gt;"",K123&lt;&gt;""),ROUND(K123/ABS(I123-J123),0),"")</f>
        <v/>
      </c>
      <c r="M123" s="20" t="n"/>
      <c r="N123" s="19" t="n"/>
      <c r="O123" s="19" t="n"/>
      <c r="P123" s="19" t="n"/>
      <c r="Q123" s="21">
        <f>IF(AND(M123&lt;&gt;"",I123&lt;&gt;""),IF(E123="LONG",M123-I123,I123-M123),"")</f>
        <v/>
      </c>
      <c r="R123" s="21">
        <f>IF(AND(Q123&lt;&gt;"",I123&lt;&gt;"",J123&lt;&gt;""),Q123/ABS(I123-J123),"")</f>
        <v/>
      </c>
      <c r="S123" s="22">
        <f>IF(AND(R123&lt;&gt;"",K123&lt;&gt;""),R123*K123,"")</f>
        <v/>
      </c>
      <c r="T123" s="21">
        <f>IF(R123&lt;&gt;"",T122+R123,"")</f>
        <v/>
      </c>
      <c r="U123" s="19" t="n"/>
    </row>
    <row r="124" ht="15" customHeight="1" s="16">
      <c r="A124" s="18">
        <f>IF(B124="","",ROW()-1)</f>
        <v/>
      </c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20" t="n"/>
      <c r="L124" s="18">
        <f>IF(AND(I124&lt;&gt;"",J124&lt;&gt;"",K124&lt;&gt;""),ROUND(K124/ABS(I124-J124),0),"")</f>
        <v/>
      </c>
      <c r="M124" s="20" t="n"/>
      <c r="N124" s="19" t="n"/>
      <c r="O124" s="19" t="n"/>
      <c r="P124" s="19" t="n"/>
      <c r="Q124" s="21">
        <f>IF(AND(M124&lt;&gt;"",I124&lt;&gt;""),IF(E124="LONG",M124-I124,I124-M124),"")</f>
        <v/>
      </c>
      <c r="R124" s="21">
        <f>IF(AND(Q124&lt;&gt;"",I124&lt;&gt;"",J124&lt;&gt;""),Q124/ABS(I124-J124),"")</f>
        <v/>
      </c>
      <c r="S124" s="22">
        <f>IF(AND(R124&lt;&gt;"",K124&lt;&gt;""),R124*K124,"")</f>
        <v/>
      </c>
      <c r="T124" s="21">
        <f>IF(R124&lt;&gt;"",T123+R124,"")</f>
        <v/>
      </c>
      <c r="U124" s="19" t="n"/>
    </row>
    <row r="125" ht="15" customHeight="1" s="16">
      <c r="A125" s="18">
        <f>IF(B125="","",ROW()-1)</f>
        <v/>
      </c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20" t="n"/>
      <c r="L125" s="18">
        <f>IF(AND(I125&lt;&gt;"",J125&lt;&gt;"",K125&lt;&gt;""),ROUND(K125/ABS(I125-J125),0),"")</f>
        <v/>
      </c>
      <c r="M125" s="20" t="n"/>
      <c r="N125" s="19" t="n"/>
      <c r="O125" s="19" t="n"/>
      <c r="P125" s="19" t="n"/>
      <c r="Q125" s="21">
        <f>IF(AND(M125&lt;&gt;"",I125&lt;&gt;""),IF(E125="LONG",M125-I125,I125-M125),"")</f>
        <v/>
      </c>
      <c r="R125" s="21">
        <f>IF(AND(Q125&lt;&gt;"",I125&lt;&gt;"",J125&lt;&gt;""),Q125/ABS(I125-J125),"")</f>
        <v/>
      </c>
      <c r="S125" s="22">
        <f>IF(AND(R125&lt;&gt;"",K125&lt;&gt;""),R125*K125,"")</f>
        <v/>
      </c>
      <c r="T125" s="21">
        <f>IF(R125&lt;&gt;"",T124+R125,"")</f>
        <v/>
      </c>
      <c r="U125" s="19" t="n"/>
    </row>
    <row r="126" ht="15" customHeight="1" s="16">
      <c r="A126" s="18">
        <f>IF(B126="","",ROW()-1)</f>
        <v/>
      </c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20" t="n"/>
      <c r="L126" s="18">
        <f>IF(AND(I126&lt;&gt;"",J126&lt;&gt;"",K126&lt;&gt;""),ROUND(K126/ABS(I126-J126),0),"")</f>
        <v/>
      </c>
      <c r="M126" s="20" t="n"/>
      <c r="N126" s="19" t="n"/>
      <c r="O126" s="19" t="n"/>
      <c r="P126" s="19" t="n"/>
      <c r="Q126" s="21">
        <f>IF(AND(M126&lt;&gt;"",I126&lt;&gt;""),IF(E126="LONG",M126-I126,I126-M126),"")</f>
        <v/>
      </c>
      <c r="R126" s="21">
        <f>IF(AND(Q126&lt;&gt;"",I126&lt;&gt;"",J126&lt;&gt;""),Q126/ABS(I126-J126),"")</f>
        <v/>
      </c>
      <c r="S126" s="22">
        <f>IF(AND(R126&lt;&gt;"",K126&lt;&gt;""),R126*K126,"")</f>
        <v/>
      </c>
      <c r="T126" s="21">
        <f>IF(R126&lt;&gt;"",T125+R126,"")</f>
        <v/>
      </c>
      <c r="U126" s="19" t="n"/>
    </row>
    <row r="127" ht="15" customHeight="1" s="16">
      <c r="A127" s="18">
        <f>IF(B127="","",ROW()-1)</f>
        <v/>
      </c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20" t="n"/>
      <c r="L127" s="18">
        <f>IF(AND(I127&lt;&gt;"",J127&lt;&gt;"",K127&lt;&gt;""),ROUND(K127/ABS(I127-J127),0),"")</f>
        <v/>
      </c>
      <c r="M127" s="20" t="n"/>
      <c r="N127" s="19" t="n"/>
      <c r="O127" s="19" t="n"/>
      <c r="P127" s="19" t="n"/>
      <c r="Q127" s="21">
        <f>IF(AND(M127&lt;&gt;"",I127&lt;&gt;""),IF(E127="LONG",M127-I127,I127-M127),"")</f>
        <v/>
      </c>
      <c r="R127" s="21">
        <f>IF(AND(Q127&lt;&gt;"",I127&lt;&gt;"",J127&lt;&gt;""),Q127/ABS(I127-J127),"")</f>
        <v/>
      </c>
      <c r="S127" s="22">
        <f>IF(AND(R127&lt;&gt;"",K127&lt;&gt;""),R127*K127,"")</f>
        <v/>
      </c>
      <c r="T127" s="21">
        <f>IF(R127&lt;&gt;"",T126+R127,"")</f>
        <v/>
      </c>
      <c r="U127" s="19" t="n"/>
    </row>
    <row r="128" ht="15" customHeight="1" s="16">
      <c r="A128" s="18">
        <f>IF(B128="","",ROW()-1)</f>
        <v/>
      </c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20" t="n"/>
      <c r="L128" s="18">
        <f>IF(AND(I128&lt;&gt;"",J128&lt;&gt;"",K128&lt;&gt;""),ROUND(K128/ABS(I128-J128),0),"")</f>
        <v/>
      </c>
      <c r="M128" s="20" t="n"/>
      <c r="N128" s="19" t="n"/>
      <c r="O128" s="19" t="n"/>
      <c r="P128" s="19" t="n"/>
      <c r="Q128" s="21">
        <f>IF(AND(M128&lt;&gt;"",I128&lt;&gt;""),IF(E128="LONG",M128-I128,I128-M128),"")</f>
        <v/>
      </c>
      <c r="R128" s="21">
        <f>IF(AND(Q128&lt;&gt;"",I128&lt;&gt;"",J128&lt;&gt;""),Q128/ABS(I128-J128),"")</f>
        <v/>
      </c>
      <c r="S128" s="22">
        <f>IF(AND(R128&lt;&gt;"",K128&lt;&gt;""),R128*K128,"")</f>
        <v/>
      </c>
      <c r="T128" s="21">
        <f>IF(R128&lt;&gt;"",T127+R128,"")</f>
        <v/>
      </c>
      <c r="U128" s="19" t="n"/>
    </row>
    <row r="129" ht="15" customHeight="1" s="16">
      <c r="A129" s="18">
        <f>IF(B129="","",ROW()-1)</f>
        <v/>
      </c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20" t="n"/>
      <c r="L129" s="18">
        <f>IF(AND(I129&lt;&gt;"",J129&lt;&gt;"",K129&lt;&gt;""),ROUND(K129/ABS(I129-J129),0),"")</f>
        <v/>
      </c>
      <c r="M129" s="20" t="n"/>
      <c r="N129" s="19" t="n"/>
      <c r="O129" s="19" t="n"/>
      <c r="P129" s="19" t="n"/>
      <c r="Q129" s="21">
        <f>IF(AND(M129&lt;&gt;"",I129&lt;&gt;""),IF(E129="LONG",M129-I129,I129-M129),"")</f>
        <v/>
      </c>
      <c r="R129" s="21">
        <f>IF(AND(Q129&lt;&gt;"",I129&lt;&gt;"",J129&lt;&gt;""),Q129/ABS(I129-J129),"")</f>
        <v/>
      </c>
      <c r="S129" s="22">
        <f>IF(AND(R129&lt;&gt;"",K129&lt;&gt;""),R129*K129,"")</f>
        <v/>
      </c>
      <c r="T129" s="21">
        <f>IF(R129&lt;&gt;"",T128+R129,"")</f>
        <v/>
      </c>
      <c r="U129" s="19" t="n"/>
    </row>
    <row r="130" ht="15" customHeight="1" s="16">
      <c r="A130" s="18">
        <f>IF(B130="","",ROW()-1)</f>
        <v/>
      </c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20" t="n"/>
      <c r="L130" s="18">
        <f>IF(AND(I130&lt;&gt;"",J130&lt;&gt;"",K130&lt;&gt;""),ROUND(K130/ABS(I130-J130),0),"")</f>
        <v/>
      </c>
      <c r="M130" s="20" t="n"/>
      <c r="N130" s="19" t="n"/>
      <c r="O130" s="19" t="n"/>
      <c r="P130" s="19" t="n"/>
      <c r="Q130" s="21">
        <f>IF(AND(M130&lt;&gt;"",I130&lt;&gt;""),IF(E130="LONG",M130-I130,I130-M130),"")</f>
        <v/>
      </c>
      <c r="R130" s="21">
        <f>IF(AND(Q130&lt;&gt;"",I130&lt;&gt;"",J130&lt;&gt;""),Q130/ABS(I130-J130),"")</f>
        <v/>
      </c>
      <c r="S130" s="22">
        <f>IF(AND(R130&lt;&gt;"",K130&lt;&gt;""),R130*K130,"")</f>
        <v/>
      </c>
      <c r="T130" s="21">
        <f>IF(R130&lt;&gt;"",T129+R130,"")</f>
        <v/>
      </c>
      <c r="U130" s="19" t="n"/>
    </row>
    <row r="131" ht="15" customHeight="1" s="16">
      <c r="A131" s="18">
        <f>IF(B131="","",ROW()-1)</f>
        <v/>
      </c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20" t="n"/>
      <c r="L131" s="18">
        <f>IF(AND(I131&lt;&gt;"",J131&lt;&gt;"",K131&lt;&gt;""),ROUND(K131/ABS(I131-J131),0),"")</f>
        <v/>
      </c>
      <c r="M131" s="20" t="n"/>
      <c r="N131" s="19" t="n"/>
      <c r="O131" s="19" t="n"/>
      <c r="P131" s="19" t="n"/>
      <c r="Q131" s="21">
        <f>IF(AND(M131&lt;&gt;"",I131&lt;&gt;""),IF(E131="LONG",M131-I131,I131-M131),"")</f>
        <v/>
      </c>
      <c r="R131" s="21">
        <f>IF(AND(Q131&lt;&gt;"",I131&lt;&gt;"",J131&lt;&gt;""),Q131/ABS(I131-J131),"")</f>
        <v/>
      </c>
      <c r="S131" s="22">
        <f>IF(AND(R131&lt;&gt;"",K131&lt;&gt;""),R131*K131,"")</f>
        <v/>
      </c>
      <c r="T131" s="21">
        <f>IF(R131&lt;&gt;"",T130+R131,"")</f>
        <v/>
      </c>
      <c r="U131" s="19" t="n"/>
    </row>
    <row r="132" ht="15" customHeight="1" s="16">
      <c r="A132" s="18">
        <f>IF(B132="","",ROW()-1)</f>
        <v/>
      </c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20" t="n"/>
      <c r="L132" s="18">
        <f>IF(AND(I132&lt;&gt;"",J132&lt;&gt;"",K132&lt;&gt;""),ROUND(K132/ABS(I132-J132),0),"")</f>
        <v/>
      </c>
      <c r="M132" s="20" t="n"/>
      <c r="N132" s="19" t="n"/>
      <c r="O132" s="19" t="n"/>
      <c r="P132" s="19" t="n"/>
      <c r="Q132" s="21">
        <f>IF(AND(M132&lt;&gt;"",I132&lt;&gt;""),IF(E132="LONG",M132-I132,I132-M132),"")</f>
        <v/>
      </c>
      <c r="R132" s="21">
        <f>IF(AND(Q132&lt;&gt;"",I132&lt;&gt;"",J132&lt;&gt;""),Q132/ABS(I132-J132),"")</f>
        <v/>
      </c>
      <c r="S132" s="22">
        <f>IF(AND(R132&lt;&gt;"",K132&lt;&gt;""),R132*K132,"")</f>
        <v/>
      </c>
      <c r="T132" s="21">
        <f>IF(R132&lt;&gt;"",T131+R132,"")</f>
        <v/>
      </c>
      <c r="U132" s="19" t="n"/>
    </row>
    <row r="133" ht="15" customHeight="1" s="16">
      <c r="A133" s="18">
        <f>IF(B133="","",ROW()-1)</f>
        <v/>
      </c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20" t="n"/>
      <c r="L133" s="18">
        <f>IF(AND(I133&lt;&gt;"",J133&lt;&gt;"",K133&lt;&gt;""),ROUND(K133/ABS(I133-J133),0),"")</f>
        <v/>
      </c>
      <c r="M133" s="20" t="n"/>
      <c r="N133" s="19" t="n"/>
      <c r="O133" s="19" t="n"/>
      <c r="P133" s="19" t="n"/>
      <c r="Q133" s="21">
        <f>IF(AND(M133&lt;&gt;"",I133&lt;&gt;""),IF(E133="LONG",M133-I133,I133-M133),"")</f>
        <v/>
      </c>
      <c r="R133" s="21">
        <f>IF(AND(Q133&lt;&gt;"",I133&lt;&gt;"",J133&lt;&gt;""),Q133/ABS(I133-J133),"")</f>
        <v/>
      </c>
      <c r="S133" s="22">
        <f>IF(AND(R133&lt;&gt;"",K133&lt;&gt;""),R133*K133,"")</f>
        <v/>
      </c>
      <c r="T133" s="21">
        <f>IF(R133&lt;&gt;"",T132+R133,"")</f>
        <v/>
      </c>
      <c r="U133" s="19" t="n"/>
    </row>
    <row r="134" ht="15" customHeight="1" s="16">
      <c r="A134" s="18">
        <f>IF(B134="","",ROW()-1)</f>
        <v/>
      </c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20" t="n"/>
      <c r="L134" s="18">
        <f>IF(AND(I134&lt;&gt;"",J134&lt;&gt;"",K134&lt;&gt;""),ROUND(K134/ABS(I134-J134),0),"")</f>
        <v/>
      </c>
      <c r="M134" s="20" t="n"/>
      <c r="N134" s="19" t="n"/>
      <c r="O134" s="19" t="n"/>
      <c r="P134" s="19" t="n"/>
      <c r="Q134" s="21">
        <f>IF(AND(M134&lt;&gt;"",I134&lt;&gt;""),IF(E134="LONG",M134-I134,I134-M134),"")</f>
        <v/>
      </c>
      <c r="R134" s="21">
        <f>IF(AND(Q134&lt;&gt;"",I134&lt;&gt;"",J134&lt;&gt;""),Q134/ABS(I134-J134),"")</f>
        <v/>
      </c>
      <c r="S134" s="22">
        <f>IF(AND(R134&lt;&gt;"",K134&lt;&gt;""),R134*K134,"")</f>
        <v/>
      </c>
      <c r="T134" s="21">
        <f>IF(R134&lt;&gt;"",T133+R134,"")</f>
        <v/>
      </c>
      <c r="U134" s="19" t="n"/>
    </row>
    <row r="135" ht="15" customHeight="1" s="16">
      <c r="A135" s="18">
        <f>IF(B135="","",ROW()-1)</f>
        <v/>
      </c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20" t="n"/>
      <c r="L135" s="18">
        <f>IF(AND(I135&lt;&gt;"",J135&lt;&gt;"",K135&lt;&gt;""),ROUND(K135/ABS(I135-J135),0),"")</f>
        <v/>
      </c>
      <c r="M135" s="20" t="n"/>
      <c r="N135" s="19" t="n"/>
      <c r="O135" s="19" t="n"/>
      <c r="P135" s="19" t="n"/>
      <c r="Q135" s="21">
        <f>IF(AND(M135&lt;&gt;"",I135&lt;&gt;""),IF(E135="LONG",M135-I135,I135-M135),"")</f>
        <v/>
      </c>
      <c r="R135" s="21">
        <f>IF(AND(Q135&lt;&gt;"",I135&lt;&gt;"",J135&lt;&gt;""),Q135/ABS(I135-J135),"")</f>
        <v/>
      </c>
      <c r="S135" s="22">
        <f>IF(AND(R135&lt;&gt;"",K135&lt;&gt;""),R135*K135,"")</f>
        <v/>
      </c>
      <c r="T135" s="21">
        <f>IF(R135&lt;&gt;"",T134+R135,"")</f>
        <v/>
      </c>
      <c r="U135" s="19" t="n"/>
    </row>
    <row r="136" ht="15" customHeight="1" s="16">
      <c r="A136" s="18">
        <f>IF(B136="","",ROW()-1)</f>
        <v/>
      </c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20" t="n"/>
      <c r="L136" s="18">
        <f>IF(AND(I136&lt;&gt;"",J136&lt;&gt;"",K136&lt;&gt;""),ROUND(K136/ABS(I136-J136),0),"")</f>
        <v/>
      </c>
      <c r="M136" s="20" t="n"/>
      <c r="N136" s="19" t="n"/>
      <c r="O136" s="19" t="n"/>
      <c r="P136" s="19" t="n"/>
      <c r="Q136" s="21">
        <f>IF(AND(M136&lt;&gt;"",I136&lt;&gt;""),IF(E136="LONG",M136-I136,I136-M136),"")</f>
        <v/>
      </c>
      <c r="R136" s="21">
        <f>IF(AND(Q136&lt;&gt;"",I136&lt;&gt;"",J136&lt;&gt;""),Q136/ABS(I136-J136),"")</f>
        <v/>
      </c>
      <c r="S136" s="22">
        <f>IF(AND(R136&lt;&gt;"",K136&lt;&gt;""),R136*K136,"")</f>
        <v/>
      </c>
      <c r="T136" s="21">
        <f>IF(R136&lt;&gt;"",T135+R136,"")</f>
        <v/>
      </c>
      <c r="U136" s="19" t="n"/>
    </row>
    <row r="137" ht="15" customHeight="1" s="16">
      <c r="A137" s="18">
        <f>IF(B137="","",ROW()-1)</f>
        <v/>
      </c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20" t="n"/>
      <c r="L137" s="18">
        <f>IF(AND(I137&lt;&gt;"",J137&lt;&gt;"",K137&lt;&gt;""),ROUND(K137/ABS(I137-J137),0),"")</f>
        <v/>
      </c>
      <c r="M137" s="20" t="n"/>
      <c r="N137" s="19" t="n"/>
      <c r="O137" s="19" t="n"/>
      <c r="P137" s="19" t="n"/>
      <c r="Q137" s="21">
        <f>IF(AND(M137&lt;&gt;"",I137&lt;&gt;""),IF(E137="LONG",M137-I137,I137-M137),"")</f>
        <v/>
      </c>
      <c r="R137" s="21">
        <f>IF(AND(Q137&lt;&gt;"",I137&lt;&gt;"",J137&lt;&gt;""),Q137/ABS(I137-J137),"")</f>
        <v/>
      </c>
      <c r="S137" s="22">
        <f>IF(AND(R137&lt;&gt;"",K137&lt;&gt;""),R137*K137,"")</f>
        <v/>
      </c>
      <c r="T137" s="21">
        <f>IF(R137&lt;&gt;"",T136+R137,"")</f>
        <v/>
      </c>
      <c r="U137" s="19" t="n"/>
    </row>
    <row r="138" ht="15" customHeight="1" s="16">
      <c r="A138" s="18">
        <f>IF(B138="","",ROW()-1)</f>
        <v/>
      </c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20" t="n"/>
      <c r="L138" s="18">
        <f>IF(AND(I138&lt;&gt;"",J138&lt;&gt;"",K138&lt;&gt;""),ROUND(K138/ABS(I138-J138),0),"")</f>
        <v/>
      </c>
      <c r="M138" s="20" t="n"/>
      <c r="N138" s="19" t="n"/>
      <c r="O138" s="19" t="n"/>
      <c r="P138" s="19" t="n"/>
      <c r="Q138" s="21">
        <f>IF(AND(M138&lt;&gt;"",I138&lt;&gt;""),IF(E138="LONG",M138-I138,I138-M138),"")</f>
        <v/>
      </c>
      <c r="R138" s="21">
        <f>IF(AND(Q138&lt;&gt;"",I138&lt;&gt;"",J138&lt;&gt;""),Q138/ABS(I138-J138),"")</f>
        <v/>
      </c>
      <c r="S138" s="22">
        <f>IF(AND(R138&lt;&gt;"",K138&lt;&gt;""),R138*K138,"")</f>
        <v/>
      </c>
      <c r="T138" s="21">
        <f>IF(R138&lt;&gt;"",T137+R138,"")</f>
        <v/>
      </c>
      <c r="U138" s="19" t="n"/>
    </row>
    <row r="139" ht="15" customHeight="1" s="16">
      <c r="A139" s="18">
        <f>IF(B139="","",ROW()-1)</f>
        <v/>
      </c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20" t="n"/>
      <c r="L139" s="18">
        <f>IF(AND(I139&lt;&gt;"",J139&lt;&gt;"",K139&lt;&gt;""),ROUND(K139/ABS(I139-J139),0),"")</f>
        <v/>
      </c>
      <c r="M139" s="20" t="n"/>
      <c r="N139" s="19" t="n"/>
      <c r="O139" s="19" t="n"/>
      <c r="P139" s="19" t="n"/>
      <c r="Q139" s="21">
        <f>IF(AND(M139&lt;&gt;"",I139&lt;&gt;""),IF(E139="LONG",M139-I139,I139-M139),"")</f>
        <v/>
      </c>
      <c r="R139" s="21">
        <f>IF(AND(Q139&lt;&gt;"",I139&lt;&gt;"",J139&lt;&gt;""),Q139/ABS(I139-J139),"")</f>
        <v/>
      </c>
      <c r="S139" s="22">
        <f>IF(AND(R139&lt;&gt;"",K139&lt;&gt;""),R139*K139,"")</f>
        <v/>
      </c>
      <c r="T139" s="21">
        <f>IF(R139&lt;&gt;"",T138+R139,"")</f>
        <v/>
      </c>
      <c r="U139" s="19" t="n"/>
    </row>
    <row r="140" ht="15" customHeight="1" s="16">
      <c r="A140" s="18">
        <f>IF(B140="","",ROW()-1)</f>
        <v/>
      </c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20" t="n"/>
      <c r="L140" s="18">
        <f>IF(AND(I140&lt;&gt;"",J140&lt;&gt;"",K140&lt;&gt;""),ROUND(K140/ABS(I140-J140),0),"")</f>
        <v/>
      </c>
      <c r="M140" s="20" t="n"/>
      <c r="N140" s="19" t="n"/>
      <c r="O140" s="19" t="n"/>
      <c r="P140" s="19" t="n"/>
      <c r="Q140" s="21">
        <f>IF(AND(M140&lt;&gt;"",I140&lt;&gt;""),IF(E140="LONG",M140-I140,I140-M140),"")</f>
        <v/>
      </c>
      <c r="R140" s="21">
        <f>IF(AND(Q140&lt;&gt;"",I140&lt;&gt;"",J140&lt;&gt;""),Q140/ABS(I140-J140),"")</f>
        <v/>
      </c>
      <c r="S140" s="22">
        <f>IF(AND(R140&lt;&gt;"",K140&lt;&gt;""),R140*K140,"")</f>
        <v/>
      </c>
      <c r="T140" s="21">
        <f>IF(R140&lt;&gt;"",T139+R140,"")</f>
        <v/>
      </c>
      <c r="U140" s="19" t="n"/>
    </row>
    <row r="141" ht="15" customHeight="1" s="16">
      <c r="A141" s="18">
        <f>IF(B141="","",ROW()-1)</f>
        <v/>
      </c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20" t="n"/>
      <c r="L141" s="18">
        <f>IF(AND(I141&lt;&gt;"",J141&lt;&gt;"",K141&lt;&gt;""),ROUND(K141/ABS(I141-J141),0),"")</f>
        <v/>
      </c>
      <c r="M141" s="20" t="n"/>
      <c r="N141" s="19" t="n"/>
      <c r="O141" s="19" t="n"/>
      <c r="P141" s="19" t="n"/>
      <c r="Q141" s="21">
        <f>IF(AND(M141&lt;&gt;"",I141&lt;&gt;""),IF(E141="LONG",M141-I141,I141-M141),"")</f>
        <v/>
      </c>
      <c r="R141" s="21">
        <f>IF(AND(Q141&lt;&gt;"",I141&lt;&gt;"",J141&lt;&gt;""),Q141/ABS(I141-J141),"")</f>
        <v/>
      </c>
      <c r="S141" s="22">
        <f>IF(AND(R141&lt;&gt;"",K141&lt;&gt;""),R141*K141,"")</f>
        <v/>
      </c>
      <c r="T141" s="21">
        <f>IF(R141&lt;&gt;"",T140+R141,"")</f>
        <v/>
      </c>
      <c r="U141" s="19" t="n"/>
    </row>
    <row r="142" ht="15" customHeight="1" s="16">
      <c r="A142" s="18">
        <f>IF(B142="","",ROW()-1)</f>
        <v/>
      </c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20" t="n"/>
      <c r="L142" s="18">
        <f>IF(AND(I142&lt;&gt;"",J142&lt;&gt;"",K142&lt;&gt;""),ROUND(K142/ABS(I142-J142),0),"")</f>
        <v/>
      </c>
      <c r="M142" s="20" t="n"/>
      <c r="N142" s="19" t="n"/>
      <c r="O142" s="19" t="n"/>
      <c r="P142" s="19" t="n"/>
      <c r="Q142" s="21">
        <f>IF(AND(M142&lt;&gt;"",I142&lt;&gt;""),IF(E142="LONG",M142-I142,I142-M142),"")</f>
        <v/>
      </c>
      <c r="R142" s="21">
        <f>IF(AND(Q142&lt;&gt;"",I142&lt;&gt;"",J142&lt;&gt;""),Q142/ABS(I142-J142),"")</f>
        <v/>
      </c>
      <c r="S142" s="22">
        <f>IF(AND(R142&lt;&gt;"",K142&lt;&gt;""),R142*K142,"")</f>
        <v/>
      </c>
      <c r="T142" s="21">
        <f>IF(R142&lt;&gt;"",T141+R142,"")</f>
        <v/>
      </c>
      <c r="U142" s="19" t="n"/>
    </row>
    <row r="143" ht="15" customHeight="1" s="16">
      <c r="A143" s="18">
        <f>IF(B143="","",ROW()-1)</f>
        <v/>
      </c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20" t="n"/>
      <c r="L143" s="18">
        <f>IF(AND(I143&lt;&gt;"",J143&lt;&gt;"",K143&lt;&gt;""),ROUND(K143/ABS(I143-J143),0),"")</f>
        <v/>
      </c>
      <c r="M143" s="20" t="n"/>
      <c r="N143" s="19" t="n"/>
      <c r="O143" s="19" t="n"/>
      <c r="P143" s="19" t="n"/>
      <c r="Q143" s="21">
        <f>IF(AND(M143&lt;&gt;"",I143&lt;&gt;""),IF(E143="LONG",M143-I143,I143-M143),"")</f>
        <v/>
      </c>
      <c r="R143" s="21">
        <f>IF(AND(Q143&lt;&gt;"",I143&lt;&gt;"",J143&lt;&gt;""),Q143/ABS(I143-J143),"")</f>
        <v/>
      </c>
      <c r="S143" s="22">
        <f>IF(AND(R143&lt;&gt;"",K143&lt;&gt;""),R143*K143,"")</f>
        <v/>
      </c>
      <c r="T143" s="21">
        <f>IF(R143&lt;&gt;"",T142+R143,"")</f>
        <v/>
      </c>
      <c r="U143" s="19" t="n"/>
    </row>
    <row r="144" ht="15" customHeight="1" s="16">
      <c r="A144" s="18">
        <f>IF(B144="","",ROW()-1)</f>
        <v/>
      </c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20" t="n"/>
      <c r="L144" s="18">
        <f>IF(AND(I144&lt;&gt;"",J144&lt;&gt;"",K144&lt;&gt;""),ROUND(K144/ABS(I144-J144),0),"")</f>
        <v/>
      </c>
      <c r="M144" s="20" t="n"/>
      <c r="N144" s="19" t="n"/>
      <c r="O144" s="19" t="n"/>
      <c r="P144" s="19" t="n"/>
      <c r="Q144" s="21">
        <f>IF(AND(M144&lt;&gt;"",I144&lt;&gt;""),IF(E144="LONG",M144-I144,I144-M144),"")</f>
        <v/>
      </c>
      <c r="R144" s="21">
        <f>IF(AND(Q144&lt;&gt;"",I144&lt;&gt;"",J144&lt;&gt;""),Q144/ABS(I144-J144),"")</f>
        <v/>
      </c>
      <c r="S144" s="22">
        <f>IF(AND(R144&lt;&gt;"",K144&lt;&gt;""),R144*K144,"")</f>
        <v/>
      </c>
      <c r="T144" s="21">
        <f>IF(R144&lt;&gt;"",T143+R144,"")</f>
        <v/>
      </c>
      <c r="U144" s="19" t="n"/>
    </row>
    <row r="145" ht="15" customHeight="1" s="16">
      <c r="A145" s="18">
        <f>IF(B145="","",ROW()-1)</f>
        <v/>
      </c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20" t="n"/>
      <c r="L145" s="18">
        <f>IF(AND(I145&lt;&gt;"",J145&lt;&gt;"",K145&lt;&gt;""),ROUND(K145/ABS(I145-J145),0),"")</f>
        <v/>
      </c>
      <c r="M145" s="20" t="n"/>
      <c r="N145" s="19" t="n"/>
      <c r="O145" s="19" t="n"/>
      <c r="P145" s="19" t="n"/>
      <c r="Q145" s="21">
        <f>IF(AND(M145&lt;&gt;"",I145&lt;&gt;""),IF(E145="LONG",M145-I145,I145-M145),"")</f>
        <v/>
      </c>
      <c r="R145" s="21">
        <f>IF(AND(Q145&lt;&gt;"",I145&lt;&gt;"",J145&lt;&gt;""),Q145/ABS(I145-J145),"")</f>
        <v/>
      </c>
      <c r="S145" s="22">
        <f>IF(AND(R145&lt;&gt;"",K145&lt;&gt;""),R145*K145,"")</f>
        <v/>
      </c>
      <c r="T145" s="21">
        <f>IF(R145&lt;&gt;"",T144+R145,"")</f>
        <v/>
      </c>
      <c r="U145" s="19" t="n"/>
    </row>
    <row r="146" ht="15" customHeight="1" s="16">
      <c r="A146" s="18">
        <f>IF(B146="","",ROW()-1)</f>
        <v/>
      </c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20" t="n"/>
      <c r="L146" s="18">
        <f>IF(AND(I146&lt;&gt;"",J146&lt;&gt;"",K146&lt;&gt;""),ROUND(K146/ABS(I146-J146),0),"")</f>
        <v/>
      </c>
      <c r="M146" s="20" t="n"/>
      <c r="N146" s="19" t="n"/>
      <c r="O146" s="19" t="n"/>
      <c r="P146" s="19" t="n"/>
      <c r="Q146" s="21">
        <f>IF(AND(M146&lt;&gt;"",I146&lt;&gt;""),IF(E146="LONG",M146-I146,I146-M146),"")</f>
        <v/>
      </c>
      <c r="R146" s="21">
        <f>IF(AND(Q146&lt;&gt;"",I146&lt;&gt;"",J146&lt;&gt;""),Q146/ABS(I146-J146),"")</f>
        <v/>
      </c>
      <c r="S146" s="22">
        <f>IF(AND(R146&lt;&gt;"",K146&lt;&gt;""),R146*K146,"")</f>
        <v/>
      </c>
      <c r="T146" s="21">
        <f>IF(R146&lt;&gt;"",T145+R146,"")</f>
        <v/>
      </c>
      <c r="U146" s="19" t="n"/>
    </row>
    <row r="147" ht="15" customHeight="1" s="16">
      <c r="A147" s="18">
        <f>IF(B147="","",ROW()-1)</f>
        <v/>
      </c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20" t="n"/>
      <c r="L147" s="18">
        <f>IF(AND(I147&lt;&gt;"",J147&lt;&gt;"",K147&lt;&gt;""),ROUND(K147/ABS(I147-J147),0),"")</f>
        <v/>
      </c>
      <c r="M147" s="20" t="n"/>
      <c r="N147" s="19" t="n"/>
      <c r="O147" s="19" t="n"/>
      <c r="P147" s="19" t="n"/>
      <c r="Q147" s="21">
        <f>IF(AND(M147&lt;&gt;"",I147&lt;&gt;""),IF(E147="LONG",M147-I147,I147-M147),"")</f>
        <v/>
      </c>
      <c r="R147" s="21">
        <f>IF(AND(Q147&lt;&gt;"",I147&lt;&gt;"",J147&lt;&gt;""),Q147/ABS(I147-J147),"")</f>
        <v/>
      </c>
      <c r="S147" s="22">
        <f>IF(AND(R147&lt;&gt;"",K147&lt;&gt;""),R147*K147,"")</f>
        <v/>
      </c>
      <c r="T147" s="21">
        <f>IF(R147&lt;&gt;"",T146+R147,"")</f>
        <v/>
      </c>
      <c r="U147" s="19" t="n"/>
    </row>
    <row r="148" ht="15" customHeight="1" s="16">
      <c r="A148" s="18">
        <f>IF(B148="","",ROW()-1)</f>
        <v/>
      </c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20" t="n"/>
      <c r="L148" s="18">
        <f>IF(AND(I148&lt;&gt;"",J148&lt;&gt;"",K148&lt;&gt;""),ROUND(K148/ABS(I148-J148),0),"")</f>
        <v/>
      </c>
      <c r="M148" s="20" t="n"/>
      <c r="N148" s="19" t="n"/>
      <c r="O148" s="19" t="n"/>
      <c r="P148" s="19" t="n"/>
      <c r="Q148" s="21">
        <f>IF(AND(M148&lt;&gt;"",I148&lt;&gt;""),IF(E148="LONG",M148-I148,I148-M148),"")</f>
        <v/>
      </c>
      <c r="R148" s="21">
        <f>IF(AND(Q148&lt;&gt;"",I148&lt;&gt;"",J148&lt;&gt;""),Q148/ABS(I148-J148),"")</f>
        <v/>
      </c>
      <c r="S148" s="22">
        <f>IF(AND(R148&lt;&gt;"",K148&lt;&gt;""),R148*K148,"")</f>
        <v/>
      </c>
      <c r="T148" s="21">
        <f>IF(R148&lt;&gt;"",T147+R148,"")</f>
        <v/>
      </c>
      <c r="U148" s="19" t="n"/>
    </row>
    <row r="149" ht="15" customHeight="1" s="16">
      <c r="A149" s="18">
        <f>IF(B149="","",ROW()-1)</f>
        <v/>
      </c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20" t="n"/>
      <c r="L149" s="18">
        <f>IF(AND(I149&lt;&gt;"",J149&lt;&gt;"",K149&lt;&gt;""),ROUND(K149/ABS(I149-J149),0),"")</f>
        <v/>
      </c>
      <c r="M149" s="20" t="n"/>
      <c r="N149" s="19" t="n"/>
      <c r="O149" s="19" t="n"/>
      <c r="P149" s="19" t="n"/>
      <c r="Q149" s="21">
        <f>IF(AND(M149&lt;&gt;"",I149&lt;&gt;""),IF(E149="LONG",M149-I149,I149-M149),"")</f>
        <v/>
      </c>
      <c r="R149" s="21">
        <f>IF(AND(Q149&lt;&gt;"",I149&lt;&gt;"",J149&lt;&gt;""),Q149/ABS(I149-J149),"")</f>
        <v/>
      </c>
      <c r="S149" s="22">
        <f>IF(AND(R149&lt;&gt;"",K149&lt;&gt;""),R149*K149,"")</f>
        <v/>
      </c>
      <c r="T149" s="21">
        <f>IF(R149&lt;&gt;"",T148+R149,"")</f>
        <v/>
      </c>
      <c r="U149" s="19" t="n"/>
    </row>
    <row r="150" ht="15" customHeight="1" s="16">
      <c r="A150" s="18">
        <f>IF(B150="","",ROW()-1)</f>
        <v/>
      </c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20" t="n"/>
      <c r="L150" s="18">
        <f>IF(AND(I150&lt;&gt;"",J150&lt;&gt;"",K150&lt;&gt;""),ROUND(K150/ABS(I150-J150),0),"")</f>
        <v/>
      </c>
      <c r="M150" s="20" t="n"/>
      <c r="N150" s="19" t="n"/>
      <c r="O150" s="19" t="n"/>
      <c r="P150" s="19" t="n"/>
      <c r="Q150" s="21">
        <f>IF(AND(M150&lt;&gt;"",I150&lt;&gt;""),IF(E150="LONG",M150-I150,I150-M150),"")</f>
        <v/>
      </c>
      <c r="R150" s="21">
        <f>IF(AND(Q150&lt;&gt;"",I150&lt;&gt;"",J150&lt;&gt;""),Q150/ABS(I150-J150),"")</f>
        <v/>
      </c>
      <c r="S150" s="22">
        <f>IF(AND(R150&lt;&gt;"",K150&lt;&gt;""),R150*K150,"")</f>
        <v/>
      </c>
      <c r="T150" s="21">
        <f>IF(R150&lt;&gt;"",T149+R150,"")</f>
        <v/>
      </c>
      <c r="U150" s="19" t="n"/>
    </row>
    <row r="151" ht="15" customHeight="1" s="16">
      <c r="A151" s="18">
        <f>IF(B151="","",ROW()-1)</f>
        <v/>
      </c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20" t="n"/>
      <c r="L151" s="18">
        <f>IF(AND(I151&lt;&gt;"",J151&lt;&gt;"",K151&lt;&gt;""),ROUND(K151/ABS(I151-J151),0),"")</f>
        <v/>
      </c>
      <c r="M151" s="20" t="n"/>
      <c r="N151" s="19" t="n"/>
      <c r="O151" s="19" t="n"/>
      <c r="P151" s="19" t="n"/>
      <c r="Q151" s="21">
        <f>IF(AND(M151&lt;&gt;"",I151&lt;&gt;""),IF(E151="LONG",M151-I151,I151-M151),"")</f>
        <v/>
      </c>
      <c r="R151" s="21">
        <f>IF(AND(Q151&lt;&gt;"",I151&lt;&gt;"",J151&lt;&gt;""),Q151/ABS(I151-J151),"")</f>
        <v/>
      </c>
      <c r="S151" s="22">
        <f>IF(AND(R151&lt;&gt;"",K151&lt;&gt;""),R151*K151,"")</f>
        <v/>
      </c>
      <c r="T151" s="21">
        <f>IF(R151&lt;&gt;"",T150+R151,"")</f>
        <v/>
      </c>
      <c r="U151" s="19" t="n"/>
    </row>
    <row r="152" ht="15" customHeight="1" s="16">
      <c r="A152" s="18">
        <f>IF(B152="","",ROW()-1)</f>
        <v/>
      </c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20" t="n"/>
      <c r="L152" s="18">
        <f>IF(AND(I152&lt;&gt;"",J152&lt;&gt;"",K152&lt;&gt;""),ROUND(K152/ABS(I152-J152),0),"")</f>
        <v/>
      </c>
      <c r="M152" s="20" t="n"/>
      <c r="N152" s="19" t="n"/>
      <c r="O152" s="19" t="n"/>
      <c r="P152" s="19" t="n"/>
      <c r="Q152" s="21">
        <f>IF(AND(M152&lt;&gt;"",I152&lt;&gt;""),IF(E152="LONG",M152-I152,I152-M152),"")</f>
        <v/>
      </c>
      <c r="R152" s="21">
        <f>IF(AND(Q152&lt;&gt;"",I152&lt;&gt;"",J152&lt;&gt;""),Q152/ABS(I152-J152),"")</f>
        <v/>
      </c>
      <c r="S152" s="22">
        <f>IF(AND(R152&lt;&gt;"",K152&lt;&gt;""),R152*K152,"")</f>
        <v/>
      </c>
      <c r="T152" s="21">
        <f>IF(R152&lt;&gt;"",T151+R152,"")</f>
        <v/>
      </c>
      <c r="U152" s="19" t="n"/>
    </row>
    <row r="153" ht="15" customHeight="1" s="16">
      <c r="A153" s="18">
        <f>IF(B153="","",ROW()-1)</f>
        <v/>
      </c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20" t="n"/>
      <c r="L153" s="18">
        <f>IF(AND(I153&lt;&gt;"",J153&lt;&gt;"",K153&lt;&gt;""),ROUND(K153/ABS(I153-J153),0),"")</f>
        <v/>
      </c>
      <c r="M153" s="20" t="n"/>
      <c r="N153" s="19" t="n"/>
      <c r="O153" s="19" t="n"/>
      <c r="P153" s="19" t="n"/>
      <c r="Q153" s="21">
        <f>IF(AND(M153&lt;&gt;"",I153&lt;&gt;""),IF(E153="LONG",M153-I153,I153-M153),"")</f>
        <v/>
      </c>
      <c r="R153" s="21">
        <f>IF(AND(Q153&lt;&gt;"",I153&lt;&gt;"",J153&lt;&gt;""),Q153/ABS(I153-J153),"")</f>
        <v/>
      </c>
      <c r="S153" s="22">
        <f>IF(AND(R153&lt;&gt;"",K153&lt;&gt;""),R153*K153,"")</f>
        <v/>
      </c>
      <c r="T153" s="21">
        <f>IF(R153&lt;&gt;"",T152+R153,"")</f>
        <v/>
      </c>
      <c r="U153" s="19" t="n"/>
    </row>
    <row r="154" ht="15" customHeight="1" s="16">
      <c r="A154" s="18">
        <f>IF(B154="","",ROW()-1)</f>
        <v/>
      </c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20" t="n"/>
      <c r="L154" s="18">
        <f>IF(AND(I154&lt;&gt;"",J154&lt;&gt;"",K154&lt;&gt;""),ROUND(K154/ABS(I154-J154),0),"")</f>
        <v/>
      </c>
      <c r="M154" s="20" t="n"/>
      <c r="N154" s="19" t="n"/>
      <c r="O154" s="19" t="n"/>
      <c r="P154" s="19" t="n"/>
      <c r="Q154" s="21">
        <f>IF(AND(M154&lt;&gt;"",I154&lt;&gt;""),IF(E154="LONG",M154-I154,I154-M154),"")</f>
        <v/>
      </c>
      <c r="R154" s="21">
        <f>IF(AND(Q154&lt;&gt;"",I154&lt;&gt;"",J154&lt;&gt;""),Q154/ABS(I154-J154),"")</f>
        <v/>
      </c>
      <c r="S154" s="22">
        <f>IF(AND(R154&lt;&gt;"",K154&lt;&gt;""),R154*K154,"")</f>
        <v/>
      </c>
      <c r="T154" s="21">
        <f>IF(R154&lt;&gt;"",T153+R154,"")</f>
        <v/>
      </c>
      <c r="U154" s="19" t="n"/>
    </row>
    <row r="155" ht="15" customHeight="1" s="16">
      <c r="A155" s="18">
        <f>IF(B155="","",ROW()-1)</f>
        <v/>
      </c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20" t="n"/>
      <c r="L155" s="18">
        <f>IF(AND(I155&lt;&gt;"",J155&lt;&gt;"",K155&lt;&gt;""),ROUND(K155/ABS(I155-J155),0),"")</f>
        <v/>
      </c>
      <c r="M155" s="20" t="n"/>
      <c r="N155" s="19" t="n"/>
      <c r="O155" s="19" t="n"/>
      <c r="P155" s="19" t="n"/>
      <c r="Q155" s="21">
        <f>IF(AND(M155&lt;&gt;"",I155&lt;&gt;""),IF(E155="LONG",M155-I155,I155-M155),"")</f>
        <v/>
      </c>
      <c r="R155" s="21">
        <f>IF(AND(Q155&lt;&gt;"",I155&lt;&gt;"",J155&lt;&gt;""),Q155/ABS(I155-J155),"")</f>
        <v/>
      </c>
      <c r="S155" s="22">
        <f>IF(AND(R155&lt;&gt;"",K155&lt;&gt;""),R155*K155,"")</f>
        <v/>
      </c>
      <c r="T155" s="21">
        <f>IF(R155&lt;&gt;"",T154+R155,"")</f>
        <v/>
      </c>
      <c r="U155" s="19" t="n"/>
    </row>
    <row r="156" ht="15" customHeight="1" s="16">
      <c r="A156" s="18">
        <f>IF(B156="","",ROW()-1)</f>
        <v/>
      </c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20" t="n"/>
      <c r="L156" s="18">
        <f>IF(AND(I156&lt;&gt;"",J156&lt;&gt;"",K156&lt;&gt;""),ROUND(K156/ABS(I156-J156),0),"")</f>
        <v/>
      </c>
      <c r="M156" s="20" t="n"/>
      <c r="N156" s="19" t="n"/>
      <c r="O156" s="19" t="n"/>
      <c r="P156" s="19" t="n"/>
      <c r="Q156" s="21">
        <f>IF(AND(M156&lt;&gt;"",I156&lt;&gt;""),IF(E156="LONG",M156-I156,I156-M156),"")</f>
        <v/>
      </c>
      <c r="R156" s="21">
        <f>IF(AND(Q156&lt;&gt;"",I156&lt;&gt;"",J156&lt;&gt;""),Q156/ABS(I156-J156),"")</f>
        <v/>
      </c>
      <c r="S156" s="22">
        <f>IF(AND(R156&lt;&gt;"",K156&lt;&gt;""),R156*K156,"")</f>
        <v/>
      </c>
      <c r="T156" s="21">
        <f>IF(R156&lt;&gt;"",T155+R156,"")</f>
        <v/>
      </c>
      <c r="U156" s="19" t="n"/>
    </row>
    <row r="157" ht="15" customHeight="1" s="16">
      <c r="A157" s="18">
        <f>IF(B157="","",ROW()-1)</f>
        <v/>
      </c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20" t="n"/>
      <c r="L157" s="18">
        <f>IF(AND(I157&lt;&gt;"",J157&lt;&gt;"",K157&lt;&gt;""),ROUND(K157/ABS(I157-J157),0),"")</f>
        <v/>
      </c>
      <c r="M157" s="20" t="n"/>
      <c r="N157" s="19" t="n"/>
      <c r="O157" s="19" t="n"/>
      <c r="P157" s="19" t="n"/>
      <c r="Q157" s="21">
        <f>IF(AND(M157&lt;&gt;"",I157&lt;&gt;""),IF(E157="LONG",M157-I157,I157-M157),"")</f>
        <v/>
      </c>
      <c r="R157" s="21">
        <f>IF(AND(Q157&lt;&gt;"",I157&lt;&gt;"",J157&lt;&gt;""),Q157/ABS(I157-J157),"")</f>
        <v/>
      </c>
      <c r="S157" s="22">
        <f>IF(AND(R157&lt;&gt;"",K157&lt;&gt;""),R157*K157,"")</f>
        <v/>
      </c>
      <c r="T157" s="21">
        <f>IF(R157&lt;&gt;"",T156+R157,"")</f>
        <v/>
      </c>
      <c r="U157" s="19" t="n"/>
    </row>
    <row r="158" ht="15" customHeight="1" s="16">
      <c r="A158" s="18">
        <f>IF(B158="","",ROW()-1)</f>
        <v/>
      </c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20" t="n"/>
      <c r="L158" s="18">
        <f>IF(AND(I158&lt;&gt;"",J158&lt;&gt;"",K158&lt;&gt;""),ROUND(K158/ABS(I158-J158),0),"")</f>
        <v/>
      </c>
      <c r="M158" s="20" t="n"/>
      <c r="N158" s="19" t="n"/>
      <c r="O158" s="19" t="n"/>
      <c r="P158" s="19" t="n"/>
      <c r="Q158" s="21">
        <f>IF(AND(M158&lt;&gt;"",I158&lt;&gt;""),IF(E158="LONG",M158-I158,I158-M158),"")</f>
        <v/>
      </c>
      <c r="R158" s="21">
        <f>IF(AND(Q158&lt;&gt;"",I158&lt;&gt;"",J158&lt;&gt;""),Q158/ABS(I158-J158),"")</f>
        <v/>
      </c>
      <c r="S158" s="22">
        <f>IF(AND(R158&lt;&gt;"",K158&lt;&gt;""),R158*K158,"")</f>
        <v/>
      </c>
      <c r="T158" s="21">
        <f>IF(R158&lt;&gt;"",T157+R158,"")</f>
        <v/>
      </c>
      <c r="U158" s="19" t="n"/>
    </row>
    <row r="159" ht="15" customHeight="1" s="16">
      <c r="A159" s="18">
        <f>IF(B159="","",ROW()-1)</f>
        <v/>
      </c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20" t="n"/>
      <c r="L159" s="18">
        <f>IF(AND(I159&lt;&gt;"",J159&lt;&gt;"",K159&lt;&gt;""),ROUND(K159/ABS(I159-J159),0),"")</f>
        <v/>
      </c>
      <c r="M159" s="20" t="n"/>
      <c r="N159" s="19" t="n"/>
      <c r="O159" s="19" t="n"/>
      <c r="P159" s="19" t="n"/>
      <c r="Q159" s="21">
        <f>IF(AND(M159&lt;&gt;"",I159&lt;&gt;""),IF(E159="LONG",M159-I159,I159-M159),"")</f>
        <v/>
      </c>
      <c r="R159" s="21">
        <f>IF(AND(Q159&lt;&gt;"",I159&lt;&gt;"",J159&lt;&gt;""),Q159/ABS(I159-J159),"")</f>
        <v/>
      </c>
      <c r="S159" s="22">
        <f>IF(AND(R159&lt;&gt;"",K159&lt;&gt;""),R159*K159,"")</f>
        <v/>
      </c>
      <c r="T159" s="21">
        <f>IF(R159&lt;&gt;"",T158+R159,"")</f>
        <v/>
      </c>
      <c r="U159" s="19" t="n"/>
    </row>
    <row r="160" ht="15" customHeight="1" s="16">
      <c r="A160" s="18">
        <f>IF(B160="","",ROW()-1)</f>
        <v/>
      </c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20" t="n"/>
      <c r="L160" s="18">
        <f>IF(AND(I160&lt;&gt;"",J160&lt;&gt;"",K160&lt;&gt;""),ROUND(K160/ABS(I160-J160),0),"")</f>
        <v/>
      </c>
      <c r="M160" s="20" t="n"/>
      <c r="N160" s="19" t="n"/>
      <c r="O160" s="19" t="n"/>
      <c r="P160" s="19" t="n"/>
      <c r="Q160" s="21">
        <f>IF(AND(M160&lt;&gt;"",I160&lt;&gt;""),IF(E160="LONG",M160-I160,I160-M160),"")</f>
        <v/>
      </c>
      <c r="R160" s="21">
        <f>IF(AND(Q160&lt;&gt;"",I160&lt;&gt;"",J160&lt;&gt;""),Q160/ABS(I160-J160),"")</f>
        <v/>
      </c>
      <c r="S160" s="22">
        <f>IF(AND(R160&lt;&gt;"",K160&lt;&gt;""),R160*K160,"")</f>
        <v/>
      </c>
      <c r="T160" s="21">
        <f>IF(R160&lt;&gt;"",T159+R160,"")</f>
        <v/>
      </c>
      <c r="U160" s="19" t="n"/>
    </row>
    <row r="161" ht="15" customHeight="1" s="16">
      <c r="A161" s="18">
        <f>IF(B161="","",ROW()-1)</f>
        <v/>
      </c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20" t="n"/>
      <c r="L161" s="18">
        <f>IF(AND(I161&lt;&gt;"",J161&lt;&gt;"",K161&lt;&gt;""),ROUND(K161/ABS(I161-J161),0),"")</f>
        <v/>
      </c>
      <c r="M161" s="20" t="n"/>
      <c r="N161" s="19" t="n"/>
      <c r="O161" s="19" t="n"/>
      <c r="P161" s="19" t="n"/>
      <c r="Q161" s="21">
        <f>IF(AND(M161&lt;&gt;"",I161&lt;&gt;""),IF(E161="LONG",M161-I161,I161-M161),"")</f>
        <v/>
      </c>
      <c r="R161" s="21">
        <f>IF(AND(Q161&lt;&gt;"",I161&lt;&gt;"",J161&lt;&gt;""),Q161/ABS(I161-J161),"")</f>
        <v/>
      </c>
      <c r="S161" s="22">
        <f>IF(AND(R161&lt;&gt;"",K161&lt;&gt;""),R161*K161,"")</f>
        <v/>
      </c>
      <c r="T161" s="21">
        <f>IF(R161&lt;&gt;"",T160+R161,"")</f>
        <v/>
      </c>
      <c r="U161" s="19" t="n"/>
    </row>
    <row r="162" ht="15" customHeight="1" s="16">
      <c r="A162" s="18">
        <f>IF(B162="","",ROW()-1)</f>
        <v/>
      </c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20" t="n"/>
      <c r="L162" s="18">
        <f>IF(AND(I162&lt;&gt;"",J162&lt;&gt;"",K162&lt;&gt;""),ROUND(K162/ABS(I162-J162),0),"")</f>
        <v/>
      </c>
      <c r="M162" s="20" t="n"/>
      <c r="N162" s="19" t="n"/>
      <c r="O162" s="19" t="n"/>
      <c r="P162" s="19" t="n"/>
      <c r="Q162" s="21">
        <f>IF(AND(M162&lt;&gt;"",I162&lt;&gt;""),IF(E162="LONG",M162-I162,I162-M162),"")</f>
        <v/>
      </c>
      <c r="R162" s="21">
        <f>IF(AND(Q162&lt;&gt;"",I162&lt;&gt;"",J162&lt;&gt;""),Q162/ABS(I162-J162),"")</f>
        <v/>
      </c>
      <c r="S162" s="22">
        <f>IF(AND(R162&lt;&gt;"",K162&lt;&gt;""),R162*K162,"")</f>
        <v/>
      </c>
      <c r="T162" s="21">
        <f>IF(R162&lt;&gt;"",T161+R162,"")</f>
        <v/>
      </c>
      <c r="U162" s="19" t="n"/>
    </row>
    <row r="163" ht="15" customHeight="1" s="16">
      <c r="A163" s="18">
        <f>IF(B163="","",ROW()-1)</f>
        <v/>
      </c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20" t="n"/>
      <c r="L163" s="18">
        <f>IF(AND(I163&lt;&gt;"",J163&lt;&gt;"",K163&lt;&gt;""),ROUND(K163/ABS(I163-J163),0),"")</f>
        <v/>
      </c>
      <c r="M163" s="20" t="n"/>
      <c r="N163" s="19" t="n"/>
      <c r="O163" s="19" t="n"/>
      <c r="P163" s="19" t="n"/>
      <c r="Q163" s="21">
        <f>IF(AND(M163&lt;&gt;"",I163&lt;&gt;""),IF(E163="LONG",M163-I163,I163-M163),"")</f>
        <v/>
      </c>
      <c r="R163" s="21">
        <f>IF(AND(Q163&lt;&gt;"",I163&lt;&gt;"",J163&lt;&gt;""),Q163/ABS(I163-J163),"")</f>
        <v/>
      </c>
      <c r="S163" s="22">
        <f>IF(AND(R163&lt;&gt;"",K163&lt;&gt;""),R163*K163,"")</f>
        <v/>
      </c>
      <c r="T163" s="21">
        <f>IF(R163&lt;&gt;"",T162+R163,"")</f>
        <v/>
      </c>
      <c r="U163" s="19" t="n"/>
    </row>
    <row r="164" ht="15" customHeight="1" s="16">
      <c r="A164" s="18">
        <f>IF(B164="","",ROW()-1)</f>
        <v/>
      </c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20" t="n"/>
      <c r="L164" s="18">
        <f>IF(AND(I164&lt;&gt;"",J164&lt;&gt;"",K164&lt;&gt;""),ROUND(K164/ABS(I164-J164),0),"")</f>
        <v/>
      </c>
      <c r="M164" s="20" t="n"/>
      <c r="N164" s="19" t="n"/>
      <c r="O164" s="19" t="n"/>
      <c r="P164" s="19" t="n"/>
      <c r="Q164" s="21">
        <f>IF(AND(M164&lt;&gt;"",I164&lt;&gt;""),IF(E164="LONG",M164-I164,I164-M164),"")</f>
        <v/>
      </c>
      <c r="R164" s="21">
        <f>IF(AND(Q164&lt;&gt;"",I164&lt;&gt;"",J164&lt;&gt;""),Q164/ABS(I164-J164),"")</f>
        <v/>
      </c>
      <c r="S164" s="22">
        <f>IF(AND(R164&lt;&gt;"",K164&lt;&gt;""),R164*K164,"")</f>
        <v/>
      </c>
      <c r="T164" s="21">
        <f>IF(R164&lt;&gt;"",T163+R164,"")</f>
        <v/>
      </c>
      <c r="U164" s="19" t="n"/>
    </row>
    <row r="165" ht="15" customHeight="1" s="16">
      <c r="A165" s="18">
        <f>IF(B165="","",ROW()-1)</f>
        <v/>
      </c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20" t="n"/>
      <c r="L165" s="18">
        <f>IF(AND(I165&lt;&gt;"",J165&lt;&gt;"",K165&lt;&gt;""),ROUND(K165/ABS(I165-J165),0),"")</f>
        <v/>
      </c>
      <c r="M165" s="20" t="n"/>
      <c r="N165" s="19" t="n"/>
      <c r="O165" s="19" t="n"/>
      <c r="P165" s="19" t="n"/>
      <c r="Q165" s="21">
        <f>IF(AND(M165&lt;&gt;"",I165&lt;&gt;""),IF(E165="LONG",M165-I165,I165-M165),"")</f>
        <v/>
      </c>
      <c r="R165" s="21">
        <f>IF(AND(Q165&lt;&gt;"",I165&lt;&gt;"",J165&lt;&gt;""),Q165/ABS(I165-J165),"")</f>
        <v/>
      </c>
      <c r="S165" s="22">
        <f>IF(AND(R165&lt;&gt;"",K165&lt;&gt;""),R165*K165,"")</f>
        <v/>
      </c>
      <c r="T165" s="21">
        <f>IF(R165&lt;&gt;"",T164+R165,"")</f>
        <v/>
      </c>
      <c r="U165" s="19" t="n"/>
    </row>
    <row r="166" ht="15" customHeight="1" s="16">
      <c r="A166" s="18">
        <f>IF(B166="","",ROW()-1)</f>
        <v/>
      </c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20" t="n"/>
      <c r="L166" s="18">
        <f>IF(AND(I166&lt;&gt;"",J166&lt;&gt;"",K166&lt;&gt;""),ROUND(K166/ABS(I166-J166),0),"")</f>
        <v/>
      </c>
      <c r="M166" s="20" t="n"/>
      <c r="N166" s="19" t="n"/>
      <c r="O166" s="19" t="n"/>
      <c r="P166" s="19" t="n"/>
      <c r="Q166" s="21">
        <f>IF(AND(M166&lt;&gt;"",I166&lt;&gt;""),IF(E166="LONG",M166-I166,I166-M166),"")</f>
        <v/>
      </c>
      <c r="R166" s="21">
        <f>IF(AND(Q166&lt;&gt;"",I166&lt;&gt;"",J166&lt;&gt;""),Q166/ABS(I166-J166),"")</f>
        <v/>
      </c>
      <c r="S166" s="22">
        <f>IF(AND(R166&lt;&gt;"",K166&lt;&gt;""),R166*K166,"")</f>
        <v/>
      </c>
      <c r="T166" s="21">
        <f>IF(R166&lt;&gt;"",T165+R166,"")</f>
        <v/>
      </c>
      <c r="U166" s="19" t="n"/>
    </row>
    <row r="167" ht="15" customHeight="1" s="16">
      <c r="A167" s="18">
        <f>IF(B167="","",ROW()-1)</f>
        <v/>
      </c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20" t="n"/>
      <c r="L167" s="18">
        <f>IF(AND(I167&lt;&gt;"",J167&lt;&gt;"",K167&lt;&gt;""),ROUND(K167/ABS(I167-J167),0),"")</f>
        <v/>
      </c>
      <c r="M167" s="20" t="n"/>
      <c r="N167" s="19" t="n"/>
      <c r="O167" s="19" t="n"/>
      <c r="P167" s="19" t="n"/>
      <c r="Q167" s="21">
        <f>IF(AND(M167&lt;&gt;"",I167&lt;&gt;""),IF(E167="LONG",M167-I167,I167-M167),"")</f>
        <v/>
      </c>
      <c r="R167" s="21">
        <f>IF(AND(Q167&lt;&gt;"",I167&lt;&gt;"",J167&lt;&gt;""),Q167/ABS(I167-J167),"")</f>
        <v/>
      </c>
      <c r="S167" s="22">
        <f>IF(AND(R167&lt;&gt;"",K167&lt;&gt;""),R167*K167,"")</f>
        <v/>
      </c>
      <c r="T167" s="21">
        <f>IF(R167&lt;&gt;"",T166+R167,"")</f>
        <v/>
      </c>
      <c r="U167" s="19" t="n"/>
    </row>
    <row r="168" ht="15" customHeight="1" s="16">
      <c r="A168" s="18">
        <f>IF(B168="","",ROW()-1)</f>
        <v/>
      </c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20" t="n"/>
      <c r="L168" s="18">
        <f>IF(AND(I168&lt;&gt;"",J168&lt;&gt;"",K168&lt;&gt;""),ROUND(K168/ABS(I168-J168),0),"")</f>
        <v/>
      </c>
      <c r="M168" s="20" t="n"/>
      <c r="N168" s="19" t="n"/>
      <c r="O168" s="19" t="n"/>
      <c r="P168" s="19" t="n"/>
      <c r="Q168" s="21">
        <f>IF(AND(M168&lt;&gt;"",I168&lt;&gt;""),IF(E168="LONG",M168-I168,I168-M168),"")</f>
        <v/>
      </c>
      <c r="R168" s="21">
        <f>IF(AND(Q168&lt;&gt;"",I168&lt;&gt;"",J168&lt;&gt;""),Q168/ABS(I168-J168),"")</f>
        <v/>
      </c>
      <c r="S168" s="22">
        <f>IF(AND(R168&lt;&gt;"",K168&lt;&gt;""),R168*K168,"")</f>
        <v/>
      </c>
      <c r="T168" s="21">
        <f>IF(R168&lt;&gt;"",T167+R168,"")</f>
        <v/>
      </c>
      <c r="U168" s="19" t="n"/>
    </row>
    <row r="169" ht="15" customHeight="1" s="16">
      <c r="A169" s="18">
        <f>IF(B169="","",ROW()-1)</f>
        <v/>
      </c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20" t="n"/>
      <c r="L169" s="18">
        <f>IF(AND(I169&lt;&gt;"",J169&lt;&gt;"",K169&lt;&gt;""),ROUND(K169/ABS(I169-J169),0),"")</f>
        <v/>
      </c>
      <c r="M169" s="20" t="n"/>
      <c r="N169" s="19" t="n"/>
      <c r="O169" s="19" t="n"/>
      <c r="P169" s="19" t="n"/>
      <c r="Q169" s="21">
        <f>IF(AND(M169&lt;&gt;"",I169&lt;&gt;""),IF(E169="LONG",M169-I169,I169-M169),"")</f>
        <v/>
      </c>
      <c r="R169" s="21">
        <f>IF(AND(Q169&lt;&gt;"",I169&lt;&gt;"",J169&lt;&gt;""),Q169/ABS(I169-J169),"")</f>
        <v/>
      </c>
      <c r="S169" s="22">
        <f>IF(AND(R169&lt;&gt;"",K169&lt;&gt;""),R169*K169,"")</f>
        <v/>
      </c>
      <c r="T169" s="21">
        <f>IF(R169&lt;&gt;"",T168+R169,"")</f>
        <v/>
      </c>
      <c r="U169" s="19" t="n"/>
    </row>
    <row r="170" ht="15" customHeight="1" s="16">
      <c r="A170" s="18">
        <f>IF(B170="","",ROW()-1)</f>
        <v/>
      </c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20" t="n"/>
      <c r="L170" s="18">
        <f>IF(AND(I170&lt;&gt;"",J170&lt;&gt;"",K170&lt;&gt;""),ROUND(K170/ABS(I170-J170),0),"")</f>
        <v/>
      </c>
      <c r="M170" s="20" t="n"/>
      <c r="N170" s="19" t="n"/>
      <c r="O170" s="19" t="n"/>
      <c r="P170" s="19" t="n"/>
      <c r="Q170" s="21">
        <f>IF(AND(M170&lt;&gt;"",I170&lt;&gt;""),IF(E170="LONG",M170-I170,I170-M170),"")</f>
        <v/>
      </c>
      <c r="R170" s="21">
        <f>IF(AND(Q170&lt;&gt;"",I170&lt;&gt;"",J170&lt;&gt;""),Q170/ABS(I170-J170),"")</f>
        <v/>
      </c>
      <c r="S170" s="22">
        <f>IF(AND(R170&lt;&gt;"",K170&lt;&gt;""),R170*K170,"")</f>
        <v/>
      </c>
      <c r="T170" s="21">
        <f>IF(R170&lt;&gt;"",T169+R170,"")</f>
        <v/>
      </c>
      <c r="U170" s="19" t="n"/>
    </row>
    <row r="171" ht="15" customHeight="1" s="16">
      <c r="A171" s="18">
        <f>IF(B171="","",ROW()-1)</f>
        <v/>
      </c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20" t="n"/>
      <c r="L171" s="18">
        <f>IF(AND(I171&lt;&gt;"",J171&lt;&gt;"",K171&lt;&gt;""),ROUND(K171/ABS(I171-J171),0),"")</f>
        <v/>
      </c>
      <c r="M171" s="20" t="n"/>
      <c r="N171" s="19" t="n"/>
      <c r="O171" s="19" t="n"/>
      <c r="P171" s="19" t="n"/>
      <c r="Q171" s="21">
        <f>IF(AND(M171&lt;&gt;"",I171&lt;&gt;""),IF(E171="LONG",M171-I171,I171-M171),"")</f>
        <v/>
      </c>
      <c r="R171" s="21">
        <f>IF(AND(Q171&lt;&gt;"",I171&lt;&gt;"",J171&lt;&gt;""),Q171/ABS(I171-J171),"")</f>
        <v/>
      </c>
      <c r="S171" s="22">
        <f>IF(AND(R171&lt;&gt;"",K171&lt;&gt;""),R171*K171,"")</f>
        <v/>
      </c>
      <c r="T171" s="21">
        <f>IF(R171&lt;&gt;"",T170+R171,"")</f>
        <v/>
      </c>
      <c r="U171" s="19" t="n"/>
    </row>
    <row r="172" ht="15" customHeight="1" s="16">
      <c r="A172" s="18">
        <f>IF(B172="","",ROW()-1)</f>
        <v/>
      </c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20" t="n"/>
      <c r="L172" s="18">
        <f>IF(AND(I172&lt;&gt;"",J172&lt;&gt;"",K172&lt;&gt;""),ROUND(K172/ABS(I172-J172),0),"")</f>
        <v/>
      </c>
      <c r="M172" s="20" t="n"/>
      <c r="N172" s="19" t="n"/>
      <c r="O172" s="19" t="n"/>
      <c r="P172" s="19" t="n"/>
      <c r="Q172" s="21">
        <f>IF(AND(M172&lt;&gt;"",I172&lt;&gt;""),IF(E172="LONG",M172-I172,I172-M172),"")</f>
        <v/>
      </c>
      <c r="R172" s="21">
        <f>IF(AND(Q172&lt;&gt;"",I172&lt;&gt;"",J172&lt;&gt;""),Q172/ABS(I172-J172),"")</f>
        <v/>
      </c>
      <c r="S172" s="22">
        <f>IF(AND(R172&lt;&gt;"",K172&lt;&gt;""),R172*K172,"")</f>
        <v/>
      </c>
      <c r="T172" s="21">
        <f>IF(R172&lt;&gt;"",T171+R172,"")</f>
        <v/>
      </c>
      <c r="U172" s="19" t="n"/>
    </row>
    <row r="173" ht="15" customHeight="1" s="16">
      <c r="A173" s="18">
        <f>IF(B173="","",ROW()-1)</f>
        <v/>
      </c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20" t="n"/>
      <c r="L173" s="18">
        <f>IF(AND(I173&lt;&gt;"",J173&lt;&gt;"",K173&lt;&gt;""),ROUND(K173/ABS(I173-J173),0),"")</f>
        <v/>
      </c>
      <c r="M173" s="20" t="n"/>
      <c r="N173" s="19" t="n"/>
      <c r="O173" s="19" t="n"/>
      <c r="P173" s="19" t="n"/>
      <c r="Q173" s="21">
        <f>IF(AND(M173&lt;&gt;"",I173&lt;&gt;""),IF(E173="LONG",M173-I173,I173-M173),"")</f>
        <v/>
      </c>
      <c r="R173" s="21">
        <f>IF(AND(Q173&lt;&gt;"",I173&lt;&gt;"",J173&lt;&gt;""),Q173/ABS(I173-J173),"")</f>
        <v/>
      </c>
      <c r="S173" s="22">
        <f>IF(AND(R173&lt;&gt;"",K173&lt;&gt;""),R173*K173,"")</f>
        <v/>
      </c>
      <c r="T173" s="21">
        <f>IF(R173&lt;&gt;"",T172+R173,"")</f>
        <v/>
      </c>
      <c r="U173" s="19" t="n"/>
    </row>
    <row r="174" ht="15" customHeight="1" s="16">
      <c r="A174" s="18">
        <f>IF(B174="","",ROW()-1)</f>
        <v/>
      </c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20" t="n"/>
      <c r="L174" s="18">
        <f>IF(AND(I174&lt;&gt;"",J174&lt;&gt;"",K174&lt;&gt;""),ROUND(K174/ABS(I174-J174),0),"")</f>
        <v/>
      </c>
      <c r="M174" s="20" t="n"/>
      <c r="N174" s="19" t="n"/>
      <c r="O174" s="19" t="n"/>
      <c r="P174" s="19" t="n"/>
      <c r="Q174" s="21">
        <f>IF(AND(M174&lt;&gt;"",I174&lt;&gt;""),IF(E174="LONG",M174-I174,I174-M174),"")</f>
        <v/>
      </c>
      <c r="R174" s="21">
        <f>IF(AND(Q174&lt;&gt;"",I174&lt;&gt;"",J174&lt;&gt;""),Q174/ABS(I174-J174),"")</f>
        <v/>
      </c>
      <c r="S174" s="22">
        <f>IF(AND(R174&lt;&gt;"",K174&lt;&gt;""),R174*K174,"")</f>
        <v/>
      </c>
      <c r="T174" s="21">
        <f>IF(R174&lt;&gt;"",T173+R174,"")</f>
        <v/>
      </c>
      <c r="U174" s="19" t="n"/>
    </row>
    <row r="175" ht="15" customHeight="1" s="16">
      <c r="A175" s="18">
        <f>IF(B175="","",ROW()-1)</f>
        <v/>
      </c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20" t="n"/>
      <c r="L175" s="18">
        <f>IF(AND(I175&lt;&gt;"",J175&lt;&gt;"",K175&lt;&gt;""),ROUND(K175/ABS(I175-J175),0),"")</f>
        <v/>
      </c>
      <c r="M175" s="20" t="n"/>
      <c r="N175" s="19" t="n"/>
      <c r="O175" s="19" t="n"/>
      <c r="P175" s="19" t="n"/>
      <c r="Q175" s="21">
        <f>IF(AND(M175&lt;&gt;"",I175&lt;&gt;""),IF(E175="LONG",M175-I175,I175-M175),"")</f>
        <v/>
      </c>
      <c r="R175" s="21">
        <f>IF(AND(Q175&lt;&gt;"",I175&lt;&gt;"",J175&lt;&gt;""),Q175/ABS(I175-J175),"")</f>
        <v/>
      </c>
      <c r="S175" s="22">
        <f>IF(AND(R175&lt;&gt;"",K175&lt;&gt;""),R175*K175,"")</f>
        <v/>
      </c>
      <c r="T175" s="21">
        <f>IF(R175&lt;&gt;"",T174+R175,"")</f>
        <v/>
      </c>
      <c r="U175" s="19" t="n"/>
    </row>
    <row r="176" ht="15" customHeight="1" s="16">
      <c r="A176" s="18">
        <f>IF(B176="","",ROW()-1)</f>
        <v/>
      </c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20" t="n"/>
      <c r="L176" s="18">
        <f>IF(AND(I176&lt;&gt;"",J176&lt;&gt;"",K176&lt;&gt;""),ROUND(K176/ABS(I176-J176),0),"")</f>
        <v/>
      </c>
      <c r="M176" s="20" t="n"/>
      <c r="N176" s="19" t="n"/>
      <c r="O176" s="19" t="n"/>
      <c r="P176" s="19" t="n"/>
      <c r="Q176" s="21">
        <f>IF(AND(M176&lt;&gt;"",I176&lt;&gt;""),IF(E176="LONG",M176-I176,I176-M176),"")</f>
        <v/>
      </c>
      <c r="R176" s="21">
        <f>IF(AND(Q176&lt;&gt;"",I176&lt;&gt;"",J176&lt;&gt;""),Q176/ABS(I176-J176),"")</f>
        <v/>
      </c>
      <c r="S176" s="22">
        <f>IF(AND(R176&lt;&gt;"",K176&lt;&gt;""),R176*K176,"")</f>
        <v/>
      </c>
      <c r="T176" s="21">
        <f>IF(R176&lt;&gt;"",T175+R176,"")</f>
        <v/>
      </c>
      <c r="U176" s="19" t="n"/>
    </row>
    <row r="177" ht="15" customHeight="1" s="16">
      <c r="A177" s="18">
        <f>IF(B177="","",ROW()-1)</f>
        <v/>
      </c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20" t="n"/>
      <c r="L177" s="18">
        <f>IF(AND(I177&lt;&gt;"",J177&lt;&gt;"",K177&lt;&gt;""),ROUND(K177/ABS(I177-J177),0),"")</f>
        <v/>
      </c>
      <c r="M177" s="20" t="n"/>
      <c r="N177" s="19" t="n"/>
      <c r="O177" s="19" t="n"/>
      <c r="P177" s="19" t="n"/>
      <c r="Q177" s="21">
        <f>IF(AND(M177&lt;&gt;"",I177&lt;&gt;""),IF(E177="LONG",M177-I177,I177-M177),"")</f>
        <v/>
      </c>
      <c r="R177" s="21">
        <f>IF(AND(Q177&lt;&gt;"",I177&lt;&gt;"",J177&lt;&gt;""),Q177/ABS(I177-J177),"")</f>
        <v/>
      </c>
      <c r="S177" s="22">
        <f>IF(AND(R177&lt;&gt;"",K177&lt;&gt;""),R177*K177,"")</f>
        <v/>
      </c>
      <c r="T177" s="21">
        <f>IF(R177&lt;&gt;"",T176+R177,"")</f>
        <v/>
      </c>
      <c r="U177" s="19" t="n"/>
    </row>
    <row r="178" ht="15" customHeight="1" s="16">
      <c r="A178" s="18">
        <f>IF(B178="","",ROW()-1)</f>
        <v/>
      </c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20" t="n"/>
      <c r="L178" s="18">
        <f>IF(AND(I178&lt;&gt;"",J178&lt;&gt;"",K178&lt;&gt;""),ROUND(K178/ABS(I178-J178),0),"")</f>
        <v/>
      </c>
      <c r="M178" s="20" t="n"/>
      <c r="N178" s="19" t="n"/>
      <c r="O178" s="19" t="n"/>
      <c r="P178" s="19" t="n"/>
      <c r="Q178" s="21">
        <f>IF(AND(M178&lt;&gt;"",I178&lt;&gt;""),IF(E178="LONG",M178-I178,I178-M178),"")</f>
        <v/>
      </c>
      <c r="R178" s="21">
        <f>IF(AND(Q178&lt;&gt;"",I178&lt;&gt;"",J178&lt;&gt;""),Q178/ABS(I178-J178),"")</f>
        <v/>
      </c>
      <c r="S178" s="22">
        <f>IF(AND(R178&lt;&gt;"",K178&lt;&gt;""),R178*K178,"")</f>
        <v/>
      </c>
      <c r="T178" s="21">
        <f>IF(R178&lt;&gt;"",T177+R178,"")</f>
        <v/>
      </c>
      <c r="U178" s="19" t="n"/>
    </row>
    <row r="179" ht="15" customHeight="1" s="16">
      <c r="A179" s="18">
        <f>IF(B179="","",ROW()-1)</f>
        <v/>
      </c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20" t="n"/>
      <c r="L179" s="18">
        <f>IF(AND(I179&lt;&gt;"",J179&lt;&gt;"",K179&lt;&gt;""),ROUND(K179/ABS(I179-J179),0),"")</f>
        <v/>
      </c>
      <c r="M179" s="20" t="n"/>
      <c r="N179" s="19" t="n"/>
      <c r="O179" s="19" t="n"/>
      <c r="P179" s="19" t="n"/>
      <c r="Q179" s="21">
        <f>IF(AND(M179&lt;&gt;"",I179&lt;&gt;""),IF(E179="LONG",M179-I179,I179-M179),"")</f>
        <v/>
      </c>
      <c r="R179" s="21">
        <f>IF(AND(Q179&lt;&gt;"",I179&lt;&gt;"",J179&lt;&gt;""),Q179/ABS(I179-J179),"")</f>
        <v/>
      </c>
      <c r="S179" s="22">
        <f>IF(AND(R179&lt;&gt;"",K179&lt;&gt;""),R179*K179,"")</f>
        <v/>
      </c>
      <c r="T179" s="21">
        <f>IF(R179&lt;&gt;"",T178+R179,"")</f>
        <v/>
      </c>
      <c r="U179" s="19" t="n"/>
    </row>
    <row r="180" ht="15" customHeight="1" s="16">
      <c r="A180" s="18">
        <f>IF(B180="","",ROW()-1)</f>
        <v/>
      </c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20" t="n"/>
      <c r="L180" s="18">
        <f>IF(AND(I180&lt;&gt;"",J180&lt;&gt;"",K180&lt;&gt;""),ROUND(K180/ABS(I180-J180),0),"")</f>
        <v/>
      </c>
      <c r="M180" s="20" t="n"/>
      <c r="N180" s="19" t="n"/>
      <c r="O180" s="19" t="n"/>
      <c r="P180" s="19" t="n"/>
      <c r="Q180" s="21">
        <f>IF(AND(M180&lt;&gt;"",I180&lt;&gt;""),IF(E180="LONG",M180-I180,I180-M180),"")</f>
        <v/>
      </c>
      <c r="R180" s="21">
        <f>IF(AND(Q180&lt;&gt;"",I180&lt;&gt;"",J180&lt;&gt;""),Q180/ABS(I180-J180),"")</f>
        <v/>
      </c>
      <c r="S180" s="22">
        <f>IF(AND(R180&lt;&gt;"",K180&lt;&gt;""),R180*K180,"")</f>
        <v/>
      </c>
      <c r="T180" s="21">
        <f>IF(R180&lt;&gt;"",T179+R180,"")</f>
        <v/>
      </c>
      <c r="U180" s="19" t="n"/>
    </row>
    <row r="181" ht="15" customHeight="1" s="16">
      <c r="A181" s="18">
        <f>IF(B181="","",ROW()-1)</f>
        <v/>
      </c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20" t="n"/>
      <c r="L181" s="18">
        <f>IF(AND(I181&lt;&gt;"",J181&lt;&gt;"",K181&lt;&gt;""),ROUND(K181/ABS(I181-J181),0),"")</f>
        <v/>
      </c>
      <c r="M181" s="20" t="n"/>
      <c r="N181" s="19" t="n"/>
      <c r="O181" s="19" t="n"/>
      <c r="P181" s="19" t="n"/>
      <c r="Q181" s="21">
        <f>IF(AND(M181&lt;&gt;"",I181&lt;&gt;""),IF(E181="LONG",M181-I181,I181-M181),"")</f>
        <v/>
      </c>
      <c r="R181" s="21">
        <f>IF(AND(Q181&lt;&gt;"",I181&lt;&gt;"",J181&lt;&gt;""),Q181/ABS(I181-J181),"")</f>
        <v/>
      </c>
      <c r="S181" s="22">
        <f>IF(AND(R181&lt;&gt;"",K181&lt;&gt;""),R181*K181,"")</f>
        <v/>
      </c>
      <c r="T181" s="21">
        <f>IF(R181&lt;&gt;"",T180+R181,"")</f>
        <v/>
      </c>
      <c r="U181" s="19" t="n"/>
    </row>
    <row r="182" ht="15" customHeight="1" s="16">
      <c r="A182" s="18">
        <f>IF(B182="","",ROW()-1)</f>
        <v/>
      </c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20" t="n"/>
      <c r="L182" s="18">
        <f>IF(AND(I182&lt;&gt;"",J182&lt;&gt;"",K182&lt;&gt;""),ROUND(K182/ABS(I182-J182),0),"")</f>
        <v/>
      </c>
      <c r="M182" s="20" t="n"/>
      <c r="N182" s="19" t="n"/>
      <c r="O182" s="19" t="n"/>
      <c r="P182" s="19" t="n"/>
      <c r="Q182" s="21">
        <f>IF(AND(M182&lt;&gt;"",I182&lt;&gt;""),IF(E182="LONG",M182-I182,I182-M182),"")</f>
        <v/>
      </c>
      <c r="R182" s="21">
        <f>IF(AND(Q182&lt;&gt;"",I182&lt;&gt;"",J182&lt;&gt;""),Q182/ABS(I182-J182),"")</f>
        <v/>
      </c>
      <c r="S182" s="22">
        <f>IF(AND(R182&lt;&gt;"",K182&lt;&gt;""),R182*K182,"")</f>
        <v/>
      </c>
      <c r="T182" s="21">
        <f>IF(R182&lt;&gt;"",T181+R182,"")</f>
        <v/>
      </c>
      <c r="U182" s="19" t="n"/>
    </row>
    <row r="183" ht="15" customHeight="1" s="16">
      <c r="A183" s="18">
        <f>IF(B183="","",ROW()-1)</f>
        <v/>
      </c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20" t="n"/>
      <c r="L183" s="18">
        <f>IF(AND(I183&lt;&gt;"",J183&lt;&gt;"",K183&lt;&gt;""),ROUND(K183/ABS(I183-J183),0),"")</f>
        <v/>
      </c>
      <c r="M183" s="20" t="n"/>
      <c r="N183" s="19" t="n"/>
      <c r="O183" s="19" t="n"/>
      <c r="P183" s="19" t="n"/>
      <c r="Q183" s="21">
        <f>IF(AND(M183&lt;&gt;"",I183&lt;&gt;""),IF(E183="LONG",M183-I183,I183-M183),"")</f>
        <v/>
      </c>
      <c r="R183" s="21">
        <f>IF(AND(Q183&lt;&gt;"",I183&lt;&gt;"",J183&lt;&gt;""),Q183/ABS(I183-J183),"")</f>
        <v/>
      </c>
      <c r="S183" s="22">
        <f>IF(AND(R183&lt;&gt;"",K183&lt;&gt;""),R183*K183,"")</f>
        <v/>
      </c>
      <c r="T183" s="21">
        <f>IF(R183&lt;&gt;"",T182+R183,"")</f>
        <v/>
      </c>
      <c r="U183" s="19" t="n"/>
    </row>
    <row r="184" ht="15" customHeight="1" s="16">
      <c r="A184" s="18">
        <f>IF(B184="","",ROW()-1)</f>
        <v/>
      </c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20" t="n"/>
      <c r="L184" s="18">
        <f>IF(AND(I184&lt;&gt;"",J184&lt;&gt;"",K184&lt;&gt;""),ROUND(K184/ABS(I184-J184),0),"")</f>
        <v/>
      </c>
      <c r="M184" s="20" t="n"/>
      <c r="N184" s="19" t="n"/>
      <c r="O184" s="19" t="n"/>
      <c r="P184" s="19" t="n"/>
      <c r="Q184" s="21">
        <f>IF(AND(M184&lt;&gt;"",I184&lt;&gt;""),IF(E184="LONG",M184-I184,I184-M184),"")</f>
        <v/>
      </c>
      <c r="R184" s="21">
        <f>IF(AND(Q184&lt;&gt;"",I184&lt;&gt;"",J184&lt;&gt;""),Q184/ABS(I184-J184),"")</f>
        <v/>
      </c>
      <c r="S184" s="22">
        <f>IF(AND(R184&lt;&gt;"",K184&lt;&gt;""),R184*K184,"")</f>
        <v/>
      </c>
      <c r="T184" s="21">
        <f>IF(R184&lt;&gt;"",T183+R184,"")</f>
        <v/>
      </c>
      <c r="U184" s="19" t="n"/>
    </row>
    <row r="185" ht="15" customHeight="1" s="16">
      <c r="A185" s="18">
        <f>IF(B185="","",ROW()-1)</f>
        <v/>
      </c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20" t="n"/>
      <c r="L185" s="18">
        <f>IF(AND(I185&lt;&gt;"",J185&lt;&gt;"",K185&lt;&gt;""),ROUND(K185/ABS(I185-J185),0),"")</f>
        <v/>
      </c>
      <c r="M185" s="20" t="n"/>
      <c r="N185" s="19" t="n"/>
      <c r="O185" s="19" t="n"/>
      <c r="P185" s="19" t="n"/>
      <c r="Q185" s="21">
        <f>IF(AND(M185&lt;&gt;"",I185&lt;&gt;""),IF(E185="LONG",M185-I185,I185-M185),"")</f>
        <v/>
      </c>
      <c r="R185" s="21">
        <f>IF(AND(Q185&lt;&gt;"",I185&lt;&gt;"",J185&lt;&gt;""),Q185/ABS(I185-J185),"")</f>
        <v/>
      </c>
      <c r="S185" s="22">
        <f>IF(AND(R185&lt;&gt;"",K185&lt;&gt;""),R185*K185,"")</f>
        <v/>
      </c>
      <c r="T185" s="21">
        <f>IF(R185&lt;&gt;"",T184+R185,"")</f>
        <v/>
      </c>
      <c r="U185" s="19" t="n"/>
    </row>
    <row r="186" ht="15" customHeight="1" s="16">
      <c r="A186" s="18">
        <f>IF(B186="","",ROW()-1)</f>
        <v/>
      </c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20" t="n"/>
      <c r="L186" s="18">
        <f>IF(AND(I186&lt;&gt;"",J186&lt;&gt;"",K186&lt;&gt;""),ROUND(K186/ABS(I186-J186),0),"")</f>
        <v/>
      </c>
      <c r="M186" s="20" t="n"/>
      <c r="N186" s="19" t="n"/>
      <c r="O186" s="19" t="n"/>
      <c r="P186" s="19" t="n"/>
      <c r="Q186" s="21">
        <f>IF(AND(M186&lt;&gt;"",I186&lt;&gt;""),IF(E186="LONG",M186-I186,I186-M186),"")</f>
        <v/>
      </c>
      <c r="R186" s="21">
        <f>IF(AND(Q186&lt;&gt;"",I186&lt;&gt;"",J186&lt;&gt;""),Q186/ABS(I186-J186),"")</f>
        <v/>
      </c>
      <c r="S186" s="22">
        <f>IF(AND(R186&lt;&gt;"",K186&lt;&gt;""),R186*K186,"")</f>
        <v/>
      </c>
      <c r="T186" s="21">
        <f>IF(R186&lt;&gt;"",T185+R186,"")</f>
        <v/>
      </c>
      <c r="U186" s="19" t="n"/>
    </row>
    <row r="187" ht="15" customHeight="1" s="16">
      <c r="A187" s="18">
        <f>IF(B187="","",ROW()-1)</f>
        <v/>
      </c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20" t="n"/>
      <c r="L187" s="18">
        <f>IF(AND(I187&lt;&gt;"",J187&lt;&gt;"",K187&lt;&gt;""),ROUND(K187/ABS(I187-J187),0),"")</f>
        <v/>
      </c>
      <c r="M187" s="20" t="n"/>
      <c r="N187" s="19" t="n"/>
      <c r="O187" s="19" t="n"/>
      <c r="P187" s="19" t="n"/>
      <c r="Q187" s="21">
        <f>IF(AND(M187&lt;&gt;"",I187&lt;&gt;""),IF(E187="LONG",M187-I187,I187-M187),"")</f>
        <v/>
      </c>
      <c r="R187" s="21">
        <f>IF(AND(Q187&lt;&gt;"",I187&lt;&gt;"",J187&lt;&gt;""),Q187/ABS(I187-J187),"")</f>
        <v/>
      </c>
      <c r="S187" s="22">
        <f>IF(AND(R187&lt;&gt;"",K187&lt;&gt;""),R187*K187,"")</f>
        <v/>
      </c>
      <c r="T187" s="21">
        <f>IF(R187&lt;&gt;"",T186+R187,"")</f>
        <v/>
      </c>
      <c r="U187" s="19" t="n"/>
    </row>
    <row r="188" ht="15" customHeight="1" s="16">
      <c r="A188" s="18">
        <f>IF(B188="","",ROW()-1)</f>
        <v/>
      </c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20" t="n"/>
      <c r="L188" s="18">
        <f>IF(AND(I188&lt;&gt;"",J188&lt;&gt;"",K188&lt;&gt;""),ROUND(K188/ABS(I188-J188),0),"")</f>
        <v/>
      </c>
      <c r="M188" s="20" t="n"/>
      <c r="N188" s="19" t="n"/>
      <c r="O188" s="19" t="n"/>
      <c r="P188" s="19" t="n"/>
      <c r="Q188" s="21">
        <f>IF(AND(M188&lt;&gt;"",I188&lt;&gt;""),IF(E188="LONG",M188-I188,I188-M188),"")</f>
        <v/>
      </c>
      <c r="R188" s="21">
        <f>IF(AND(Q188&lt;&gt;"",I188&lt;&gt;"",J188&lt;&gt;""),Q188/ABS(I188-J188),"")</f>
        <v/>
      </c>
      <c r="S188" s="22">
        <f>IF(AND(R188&lt;&gt;"",K188&lt;&gt;""),R188*K188,"")</f>
        <v/>
      </c>
      <c r="T188" s="21">
        <f>IF(R188&lt;&gt;"",T187+R188,"")</f>
        <v/>
      </c>
      <c r="U188" s="19" t="n"/>
    </row>
    <row r="189" ht="15" customHeight="1" s="16">
      <c r="A189" s="18">
        <f>IF(B189="","",ROW()-1)</f>
        <v/>
      </c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20" t="n"/>
      <c r="L189" s="18">
        <f>IF(AND(I189&lt;&gt;"",J189&lt;&gt;"",K189&lt;&gt;""),ROUND(K189/ABS(I189-J189),0),"")</f>
        <v/>
      </c>
      <c r="M189" s="20" t="n"/>
      <c r="N189" s="19" t="n"/>
      <c r="O189" s="19" t="n"/>
      <c r="P189" s="19" t="n"/>
      <c r="Q189" s="21">
        <f>IF(AND(M189&lt;&gt;"",I189&lt;&gt;""),IF(E189="LONG",M189-I189,I189-M189),"")</f>
        <v/>
      </c>
      <c r="R189" s="21">
        <f>IF(AND(Q189&lt;&gt;"",I189&lt;&gt;"",J189&lt;&gt;""),Q189/ABS(I189-J189),"")</f>
        <v/>
      </c>
      <c r="S189" s="22">
        <f>IF(AND(R189&lt;&gt;"",K189&lt;&gt;""),R189*K189,"")</f>
        <v/>
      </c>
      <c r="T189" s="21">
        <f>IF(R189&lt;&gt;"",T188+R189,"")</f>
        <v/>
      </c>
      <c r="U189" s="19" t="n"/>
    </row>
    <row r="190" ht="15" customHeight="1" s="16">
      <c r="A190" s="18">
        <f>IF(B190="","",ROW()-1)</f>
        <v/>
      </c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20" t="n"/>
      <c r="L190" s="18">
        <f>IF(AND(I190&lt;&gt;"",J190&lt;&gt;"",K190&lt;&gt;""),ROUND(K190/ABS(I190-J190),0),"")</f>
        <v/>
      </c>
      <c r="M190" s="20" t="n"/>
      <c r="N190" s="19" t="n"/>
      <c r="O190" s="19" t="n"/>
      <c r="P190" s="19" t="n"/>
      <c r="Q190" s="21">
        <f>IF(AND(M190&lt;&gt;"",I190&lt;&gt;""),IF(E190="LONG",M190-I190,I190-M190),"")</f>
        <v/>
      </c>
      <c r="R190" s="21">
        <f>IF(AND(Q190&lt;&gt;"",I190&lt;&gt;"",J190&lt;&gt;""),Q190/ABS(I190-J190),"")</f>
        <v/>
      </c>
      <c r="S190" s="22">
        <f>IF(AND(R190&lt;&gt;"",K190&lt;&gt;""),R190*K190,"")</f>
        <v/>
      </c>
      <c r="T190" s="21">
        <f>IF(R190&lt;&gt;"",T189+R190,"")</f>
        <v/>
      </c>
      <c r="U190" s="19" t="n"/>
    </row>
    <row r="191" ht="15" customHeight="1" s="16">
      <c r="A191" s="18">
        <f>IF(B191="","",ROW()-1)</f>
        <v/>
      </c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20" t="n"/>
      <c r="L191" s="18">
        <f>IF(AND(I191&lt;&gt;"",J191&lt;&gt;"",K191&lt;&gt;""),ROUND(K191/ABS(I191-J191),0),"")</f>
        <v/>
      </c>
      <c r="M191" s="20" t="n"/>
      <c r="N191" s="19" t="n"/>
      <c r="O191" s="19" t="n"/>
      <c r="P191" s="19" t="n"/>
      <c r="Q191" s="21">
        <f>IF(AND(M191&lt;&gt;"",I191&lt;&gt;""),IF(E191="LONG",M191-I191,I191-M191),"")</f>
        <v/>
      </c>
      <c r="R191" s="21">
        <f>IF(AND(Q191&lt;&gt;"",I191&lt;&gt;"",J191&lt;&gt;""),Q191/ABS(I191-J191),"")</f>
        <v/>
      </c>
      <c r="S191" s="22">
        <f>IF(AND(R191&lt;&gt;"",K191&lt;&gt;""),R191*K191,"")</f>
        <v/>
      </c>
      <c r="T191" s="21">
        <f>IF(R191&lt;&gt;"",T190+R191,"")</f>
        <v/>
      </c>
      <c r="U191" s="19" t="n"/>
    </row>
    <row r="192" ht="15" customHeight="1" s="16">
      <c r="A192" s="18">
        <f>IF(B192="","",ROW()-1)</f>
        <v/>
      </c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20" t="n"/>
      <c r="L192" s="18">
        <f>IF(AND(I192&lt;&gt;"",J192&lt;&gt;"",K192&lt;&gt;""),ROUND(K192/ABS(I192-J192),0),"")</f>
        <v/>
      </c>
      <c r="M192" s="20" t="n"/>
      <c r="N192" s="19" t="n"/>
      <c r="O192" s="19" t="n"/>
      <c r="P192" s="19" t="n"/>
      <c r="Q192" s="21">
        <f>IF(AND(M192&lt;&gt;"",I192&lt;&gt;""),IF(E192="LONG",M192-I192,I192-M192),"")</f>
        <v/>
      </c>
      <c r="R192" s="21">
        <f>IF(AND(Q192&lt;&gt;"",I192&lt;&gt;"",J192&lt;&gt;""),Q192/ABS(I192-J192),"")</f>
        <v/>
      </c>
      <c r="S192" s="22">
        <f>IF(AND(R192&lt;&gt;"",K192&lt;&gt;""),R192*K192,"")</f>
        <v/>
      </c>
      <c r="T192" s="21">
        <f>IF(R192&lt;&gt;"",T191+R192,"")</f>
        <v/>
      </c>
      <c r="U192" s="19" t="n"/>
    </row>
    <row r="193" ht="15" customHeight="1" s="16">
      <c r="A193" s="18">
        <f>IF(B193="","",ROW()-1)</f>
        <v/>
      </c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20" t="n"/>
      <c r="L193" s="18">
        <f>IF(AND(I193&lt;&gt;"",J193&lt;&gt;"",K193&lt;&gt;""),ROUND(K193/ABS(I193-J193),0),"")</f>
        <v/>
      </c>
      <c r="M193" s="20" t="n"/>
      <c r="N193" s="19" t="n"/>
      <c r="O193" s="19" t="n"/>
      <c r="P193" s="19" t="n"/>
      <c r="Q193" s="21">
        <f>IF(AND(M193&lt;&gt;"",I193&lt;&gt;""),IF(E193="LONG",M193-I193,I193-M193),"")</f>
        <v/>
      </c>
      <c r="R193" s="21">
        <f>IF(AND(Q193&lt;&gt;"",I193&lt;&gt;"",J193&lt;&gt;""),Q193/ABS(I193-J193),"")</f>
        <v/>
      </c>
      <c r="S193" s="22">
        <f>IF(AND(R193&lt;&gt;"",K193&lt;&gt;""),R193*K193,"")</f>
        <v/>
      </c>
      <c r="T193" s="21">
        <f>IF(R193&lt;&gt;"",T192+R193,"")</f>
        <v/>
      </c>
      <c r="U193" s="19" t="n"/>
    </row>
    <row r="194" ht="15" customHeight="1" s="16">
      <c r="A194" s="18">
        <f>IF(B194="","",ROW()-1)</f>
        <v/>
      </c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20" t="n"/>
      <c r="L194" s="18">
        <f>IF(AND(I194&lt;&gt;"",J194&lt;&gt;"",K194&lt;&gt;""),ROUND(K194/ABS(I194-J194),0),"")</f>
        <v/>
      </c>
      <c r="M194" s="20" t="n"/>
      <c r="N194" s="19" t="n"/>
      <c r="O194" s="19" t="n"/>
      <c r="P194" s="19" t="n"/>
      <c r="Q194" s="21">
        <f>IF(AND(M194&lt;&gt;"",I194&lt;&gt;""),IF(E194="LONG",M194-I194,I194-M194),"")</f>
        <v/>
      </c>
      <c r="R194" s="21">
        <f>IF(AND(Q194&lt;&gt;"",I194&lt;&gt;"",J194&lt;&gt;""),Q194/ABS(I194-J194),"")</f>
        <v/>
      </c>
      <c r="S194" s="22">
        <f>IF(AND(R194&lt;&gt;"",K194&lt;&gt;""),R194*K194,"")</f>
        <v/>
      </c>
      <c r="T194" s="21">
        <f>IF(R194&lt;&gt;"",T193+R194,"")</f>
        <v/>
      </c>
      <c r="U194" s="19" t="n"/>
    </row>
    <row r="195" ht="15" customHeight="1" s="16">
      <c r="A195" s="18">
        <f>IF(B195="","",ROW()-1)</f>
        <v/>
      </c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20" t="n"/>
      <c r="L195" s="18">
        <f>IF(AND(I195&lt;&gt;"",J195&lt;&gt;"",K195&lt;&gt;""),ROUND(K195/ABS(I195-J195),0),"")</f>
        <v/>
      </c>
      <c r="M195" s="20" t="n"/>
      <c r="N195" s="19" t="n"/>
      <c r="O195" s="19" t="n"/>
      <c r="P195" s="19" t="n"/>
      <c r="Q195" s="21">
        <f>IF(AND(M195&lt;&gt;"",I195&lt;&gt;""),IF(E195="LONG",M195-I195,I195-M195),"")</f>
        <v/>
      </c>
      <c r="R195" s="21">
        <f>IF(AND(Q195&lt;&gt;"",I195&lt;&gt;"",J195&lt;&gt;""),Q195/ABS(I195-J195),"")</f>
        <v/>
      </c>
      <c r="S195" s="22">
        <f>IF(AND(R195&lt;&gt;"",K195&lt;&gt;""),R195*K195,"")</f>
        <v/>
      </c>
      <c r="T195" s="21">
        <f>IF(R195&lt;&gt;"",T194+R195,"")</f>
        <v/>
      </c>
      <c r="U195" s="19" t="n"/>
    </row>
    <row r="196" ht="15" customHeight="1" s="16">
      <c r="A196" s="18">
        <f>IF(B196="","",ROW()-1)</f>
        <v/>
      </c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20" t="n"/>
      <c r="L196" s="18">
        <f>IF(AND(I196&lt;&gt;"",J196&lt;&gt;"",K196&lt;&gt;""),ROUND(K196/ABS(I196-J196),0),"")</f>
        <v/>
      </c>
      <c r="M196" s="20" t="n"/>
      <c r="N196" s="19" t="n"/>
      <c r="O196" s="19" t="n"/>
      <c r="P196" s="19" t="n"/>
      <c r="Q196" s="21">
        <f>IF(AND(M196&lt;&gt;"",I196&lt;&gt;""),IF(E196="LONG",M196-I196,I196-M196),"")</f>
        <v/>
      </c>
      <c r="R196" s="21">
        <f>IF(AND(Q196&lt;&gt;"",I196&lt;&gt;"",J196&lt;&gt;""),Q196/ABS(I196-J196),"")</f>
        <v/>
      </c>
      <c r="S196" s="22">
        <f>IF(AND(R196&lt;&gt;"",K196&lt;&gt;""),R196*K196,"")</f>
        <v/>
      </c>
      <c r="T196" s="21">
        <f>IF(R196&lt;&gt;"",T195+R196,"")</f>
        <v/>
      </c>
      <c r="U196" s="19" t="n"/>
    </row>
    <row r="197" ht="15" customHeight="1" s="16">
      <c r="A197" s="18">
        <f>IF(B197="","",ROW()-1)</f>
        <v/>
      </c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20" t="n"/>
      <c r="L197" s="18">
        <f>IF(AND(I197&lt;&gt;"",J197&lt;&gt;"",K197&lt;&gt;""),ROUND(K197/ABS(I197-J197),0),"")</f>
        <v/>
      </c>
      <c r="M197" s="20" t="n"/>
      <c r="N197" s="19" t="n"/>
      <c r="O197" s="19" t="n"/>
      <c r="P197" s="19" t="n"/>
      <c r="Q197" s="21">
        <f>IF(AND(M197&lt;&gt;"",I197&lt;&gt;""),IF(E197="LONG",M197-I197,I197-M197),"")</f>
        <v/>
      </c>
      <c r="R197" s="21">
        <f>IF(AND(Q197&lt;&gt;"",I197&lt;&gt;"",J197&lt;&gt;""),Q197/ABS(I197-J197),"")</f>
        <v/>
      </c>
      <c r="S197" s="22">
        <f>IF(AND(R197&lt;&gt;"",K197&lt;&gt;""),R197*K197,"")</f>
        <v/>
      </c>
      <c r="T197" s="21">
        <f>IF(R197&lt;&gt;"",T196+R197,"")</f>
        <v/>
      </c>
      <c r="U197" s="19" t="n"/>
    </row>
    <row r="198" ht="15" customHeight="1" s="16">
      <c r="A198" s="18">
        <f>IF(B198="","",ROW()-1)</f>
        <v/>
      </c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20" t="n"/>
      <c r="L198" s="18">
        <f>IF(AND(I198&lt;&gt;"",J198&lt;&gt;"",K198&lt;&gt;""),ROUND(K198/ABS(I198-J198),0),"")</f>
        <v/>
      </c>
      <c r="M198" s="20" t="n"/>
      <c r="N198" s="19" t="n"/>
      <c r="O198" s="19" t="n"/>
      <c r="P198" s="19" t="n"/>
      <c r="Q198" s="21">
        <f>IF(AND(M198&lt;&gt;"",I198&lt;&gt;""),IF(E198="LONG",M198-I198,I198-M198),"")</f>
        <v/>
      </c>
      <c r="R198" s="21">
        <f>IF(AND(Q198&lt;&gt;"",I198&lt;&gt;"",J198&lt;&gt;""),Q198/ABS(I198-J198),"")</f>
        <v/>
      </c>
      <c r="S198" s="22">
        <f>IF(AND(R198&lt;&gt;"",K198&lt;&gt;""),R198*K198,"")</f>
        <v/>
      </c>
      <c r="T198" s="21">
        <f>IF(R198&lt;&gt;"",T197+R198,"")</f>
        <v/>
      </c>
      <c r="U198" s="19" t="n"/>
    </row>
    <row r="199" ht="15" customHeight="1" s="16">
      <c r="A199" s="18">
        <f>IF(B199="","",ROW()-1)</f>
        <v/>
      </c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20" t="n"/>
      <c r="L199" s="18">
        <f>IF(AND(I199&lt;&gt;"",J199&lt;&gt;"",K199&lt;&gt;""),ROUND(K199/ABS(I199-J199),0),"")</f>
        <v/>
      </c>
      <c r="M199" s="20" t="n"/>
      <c r="N199" s="19" t="n"/>
      <c r="O199" s="19" t="n"/>
      <c r="P199" s="19" t="n"/>
      <c r="Q199" s="21">
        <f>IF(AND(M199&lt;&gt;"",I199&lt;&gt;""),IF(E199="LONG",M199-I199,I199-M199),"")</f>
        <v/>
      </c>
      <c r="R199" s="21">
        <f>IF(AND(Q199&lt;&gt;"",I199&lt;&gt;"",J199&lt;&gt;""),Q199/ABS(I199-J199),"")</f>
        <v/>
      </c>
      <c r="S199" s="22">
        <f>IF(AND(R199&lt;&gt;"",K199&lt;&gt;""),R199*K199,"")</f>
        <v/>
      </c>
      <c r="T199" s="21">
        <f>IF(R199&lt;&gt;"",T198+R199,"")</f>
        <v/>
      </c>
      <c r="U199" s="19" t="n"/>
    </row>
    <row r="200" ht="15" customHeight="1" s="16">
      <c r="A200" s="18">
        <f>IF(B200="","",ROW()-1)</f>
        <v/>
      </c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20" t="n"/>
      <c r="L200" s="18">
        <f>IF(AND(I200&lt;&gt;"",J200&lt;&gt;"",K200&lt;&gt;""),ROUND(K200/ABS(I200-J200),0),"")</f>
        <v/>
      </c>
      <c r="M200" s="20" t="n"/>
      <c r="N200" s="19" t="n"/>
      <c r="O200" s="19" t="n"/>
      <c r="P200" s="19" t="n"/>
      <c r="Q200" s="21">
        <f>IF(AND(M200&lt;&gt;"",I200&lt;&gt;""),IF(E200="LONG",M200-I200,I200-M200),"")</f>
        <v/>
      </c>
      <c r="R200" s="21">
        <f>IF(AND(Q200&lt;&gt;"",I200&lt;&gt;"",J200&lt;&gt;""),Q200/ABS(I200-J200),"")</f>
        <v/>
      </c>
      <c r="S200" s="22">
        <f>IF(AND(R200&lt;&gt;"",K200&lt;&gt;""),R200*K200,"")</f>
        <v/>
      </c>
      <c r="T200" s="21">
        <f>IF(R200&lt;&gt;"",T199+R200,"")</f>
        <v/>
      </c>
      <c r="U200" s="19" t="n"/>
    </row>
    <row r="201" ht="15" customHeight="1" s="16">
      <c r="A201" s="18">
        <f>IF(B201="","",ROW()-1)</f>
        <v/>
      </c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20" t="n"/>
      <c r="L201" s="18">
        <f>IF(AND(I201&lt;&gt;"",J201&lt;&gt;"",K201&lt;&gt;""),ROUND(K201/ABS(I201-J201),0),"")</f>
        <v/>
      </c>
      <c r="M201" s="20" t="n"/>
      <c r="N201" s="19" t="n"/>
      <c r="O201" s="19" t="n"/>
      <c r="P201" s="19" t="n"/>
      <c r="Q201" s="21">
        <f>IF(AND(M201&lt;&gt;"",I201&lt;&gt;""),IF(E201="LONG",M201-I201,I201-M201),"")</f>
        <v/>
      </c>
      <c r="R201" s="21">
        <f>IF(AND(Q201&lt;&gt;"",I201&lt;&gt;"",J201&lt;&gt;""),Q201/ABS(I201-J201),"")</f>
        <v/>
      </c>
      <c r="S201" s="22">
        <f>IF(AND(R201&lt;&gt;"",K201&lt;&gt;""),R201*K201,"")</f>
        <v/>
      </c>
      <c r="T201" s="21">
        <f>IF(R201&lt;&gt;"",T200+R201,"")</f>
        <v/>
      </c>
      <c r="U201" s="19" t="n"/>
    </row>
  </sheetData>
  <dataValidations count="4">
    <dataValidation sqref="E2:E201" showDropDown="0" showInputMessage="0" showErrorMessage="0" allowBlank="1" error="Must be LONG or SHORT" type="list" errorStyle="stop" operator="between">
      <formula1>"LONG,SHORT"</formula1>
      <formula2>0</formula2>
    </dataValidation>
    <dataValidation sqref="F2:F201" showDropDown="0" showInputMessage="0" showErrorMessage="0" allowBlank="1" type="list" errorStyle="stop" operator="between">
      <formula1>"VWAP_KISS,SECOND_CHANCE,SC_V2,SPENCER,BDR_SHORT,EMA_RECLAIM,EMA_FPIP"</formula1>
      <formula2>0</formula2>
    </dataValidation>
    <dataValidation sqref="O2:O201" showDropDown="0" showInputMessage="0" showErrorMessage="0" allowBlank="1" type="list" errorStyle="stop" operator="between">
      <formula1>"stop,time,eod,ema9trail,breakeven_trail,target,manual"</formula1>
      <formula2>0</formula2>
    </dataValidation>
    <dataValidation sqref="H2:H201" showDropDown="0" showInputMessage="0" showErrorMessage="0" allowBlank="1" type="list" errorStyle="stop" operator="between">
      <formula1>"GREEN+TREND,GREEN+CHOPPY,RED+TREND,RED+CHOPPY,FLAT+TREND,FLAT+CHOPPY"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5" min="1" max="1"/>
    <col width="16" customWidth="1" style="15" min="2" max="2"/>
    <col width="10" customWidth="1" style="15" min="3" max="3"/>
    <col width="11" customWidth="1" style="15" min="4" max="4"/>
    <col width="12" customWidth="1" style="15" min="5" max="5"/>
    <col width="9" customWidth="1" style="15" min="6" max="9"/>
    <col width="14" customWidth="1" style="15" min="10" max="10"/>
    <col width="30" customWidth="1" style="15" min="11" max="11"/>
  </cols>
  <sheetData>
    <row r="1" ht="23.85" customHeight="1" s="16">
      <c r="A1" s="23" t="inlineStr">
        <is>
          <t>Date</t>
        </is>
      </c>
      <c r="B1" s="23" t="inlineStr">
        <is>
          <t>Regime</t>
        </is>
      </c>
      <c r="C1" s="23" t="inlineStr">
        <is>
          <t>SPY Chg%</t>
        </is>
      </c>
      <c r="D1" s="23" t="inlineStr">
        <is>
          <t>Long Trades</t>
        </is>
      </c>
      <c r="E1" s="23" t="inlineStr">
        <is>
          <t>Short Trades</t>
        </is>
      </c>
      <c r="F1" s="23" t="inlineStr">
        <is>
          <t>Long R</t>
        </is>
      </c>
      <c r="G1" s="23" t="inlineStr">
        <is>
          <t>Short R</t>
        </is>
      </c>
      <c r="H1" s="23" t="inlineStr">
        <is>
          <t>Day R</t>
        </is>
      </c>
      <c r="I1" s="23" t="inlineStr">
        <is>
          <t>Cum R</t>
        </is>
      </c>
      <c r="J1" s="23" t="inlineStr">
        <is>
          <t>Max Concurrency</t>
        </is>
      </c>
      <c r="K1" s="23" t="inlineStr">
        <is>
          <t>Notes</t>
        </is>
      </c>
    </row>
    <row r="2" ht="15" customHeight="1" s="16">
      <c r="A2" s="19" t="n"/>
      <c r="B2" s="19" t="n"/>
      <c r="C2" s="24" t="n"/>
      <c r="D2" s="18">
        <f>IF(A2="","",COUNTIFS('Trade Log'!B$2:B$201,A2,'Trade Log'!E$2:E$201,"LONG"))</f>
        <v/>
      </c>
      <c r="E2" s="18">
        <f>IF(A2="","",COUNTIFS('Trade Log'!B$2:B$201,A2,'Trade Log'!E$2:E$201,"SHORT"))</f>
        <v/>
      </c>
      <c r="F2" s="21">
        <f>IF(A2="","",SUMIFS('Trade Log'!R$2:R$201,'Trade Log'!B$2:B$201,A2,'Trade Log'!E$2:E$201,"LONG"))</f>
        <v/>
      </c>
      <c r="G2" s="21">
        <f>IF(A2="","",SUMIFS('Trade Log'!R$2:R$201,'Trade Log'!B$2:B$201,A2,'Trade Log'!E$2:E$201,"SHORT"))</f>
        <v/>
      </c>
      <c r="H2" s="21">
        <f>IF(A2="","",F2+G2)</f>
        <v/>
      </c>
      <c r="I2" s="21">
        <f>IF(A2="","",H2)</f>
        <v/>
      </c>
      <c r="J2" s="19" t="n"/>
      <c r="K2" s="19" t="n"/>
    </row>
    <row r="3" ht="15" customHeight="1" s="16">
      <c r="A3" s="19" t="n"/>
      <c r="B3" s="19" t="n"/>
      <c r="C3" s="24" t="n"/>
      <c r="D3" s="18">
        <f>IF(A3="","",COUNTIFS('Trade Log'!B$2:B$201,A3,'Trade Log'!E$2:E$201,"LONG"))</f>
        <v/>
      </c>
      <c r="E3" s="18">
        <f>IF(A3="","",COUNTIFS('Trade Log'!B$2:B$201,A3,'Trade Log'!E$2:E$201,"SHORT"))</f>
        <v/>
      </c>
      <c r="F3" s="21">
        <f>IF(A3="","",SUMIFS('Trade Log'!R$2:R$201,'Trade Log'!B$2:B$201,A3,'Trade Log'!E$2:E$201,"LONG"))</f>
        <v/>
      </c>
      <c r="G3" s="21">
        <f>IF(A3="","",SUMIFS('Trade Log'!R$2:R$201,'Trade Log'!B$2:B$201,A3,'Trade Log'!E$2:E$201,"SHORT"))</f>
        <v/>
      </c>
      <c r="H3" s="21">
        <f>IF(A3="","",F3+G3)</f>
        <v/>
      </c>
      <c r="I3" s="21">
        <f>IF(A3="","",I2+H3)</f>
        <v/>
      </c>
      <c r="J3" s="19" t="n"/>
      <c r="K3" s="19" t="n"/>
    </row>
    <row r="4" ht="15" customHeight="1" s="16">
      <c r="A4" s="19" t="n"/>
      <c r="B4" s="19" t="n"/>
      <c r="C4" s="24" t="n"/>
      <c r="D4" s="18">
        <f>IF(A4="","",COUNTIFS('Trade Log'!B$2:B$201,A4,'Trade Log'!E$2:E$201,"LONG"))</f>
        <v/>
      </c>
      <c r="E4" s="18">
        <f>IF(A4="","",COUNTIFS('Trade Log'!B$2:B$201,A4,'Trade Log'!E$2:E$201,"SHORT"))</f>
        <v/>
      </c>
      <c r="F4" s="21">
        <f>IF(A4="","",SUMIFS('Trade Log'!R$2:R$201,'Trade Log'!B$2:B$201,A4,'Trade Log'!E$2:E$201,"LONG"))</f>
        <v/>
      </c>
      <c r="G4" s="21">
        <f>IF(A4="","",SUMIFS('Trade Log'!R$2:R$201,'Trade Log'!B$2:B$201,A4,'Trade Log'!E$2:E$201,"SHORT"))</f>
        <v/>
      </c>
      <c r="H4" s="21">
        <f>IF(A4="","",F4+G4)</f>
        <v/>
      </c>
      <c r="I4" s="21">
        <f>IF(A4="","",I3+H4)</f>
        <v/>
      </c>
      <c r="J4" s="19" t="n"/>
      <c r="K4" s="19" t="n"/>
    </row>
    <row r="5" ht="15" customHeight="1" s="16">
      <c r="A5" s="19" t="n"/>
      <c r="B5" s="19" t="n"/>
      <c r="C5" s="24" t="n"/>
      <c r="D5" s="18">
        <f>IF(A5="","",COUNTIFS('Trade Log'!B$2:B$201,A5,'Trade Log'!E$2:E$201,"LONG"))</f>
        <v/>
      </c>
      <c r="E5" s="18">
        <f>IF(A5="","",COUNTIFS('Trade Log'!B$2:B$201,A5,'Trade Log'!E$2:E$201,"SHORT"))</f>
        <v/>
      </c>
      <c r="F5" s="21">
        <f>IF(A5="","",SUMIFS('Trade Log'!R$2:R$201,'Trade Log'!B$2:B$201,A5,'Trade Log'!E$2:E$201,"LONG"))</f>
        <v/>
      </c>
      <c r="G5" s="21">
        <f>IF(A5="","",SUMIFS('Trade Log'!R$2:R$201,'Trade Log'!B$2:B$201,A5,'Trade Log'!E$2:E$201,"SHORT"))</f>
        <v/>
      </c>
      <c r="H5" s="21">
        <f>IF(A5="","",F5+G5)</f>
        <v/>
      </c>
      <c r="I5" s="21">
        <f>IF(A5="","",I4+H5)</f>
        <v/>
      </c>
      <c r="J5" s="19" t="n"/>
      <c r="K5" s="19" t="n"/>
    </row>
    <row r="6" ht="15" customHeight="1" s="16">
      <c r="A6" s="19" t="n"/>
      <c r="B6" s="19" t="n"/>
      <c r="C6" s="24" t="n"/>
      <c r="D6" s="18">
        <f>IF(A6="","",COUNTIFS('Trade Log'!B$2:B$201,A6,'Trade Log'!E$2:E$201,"LONG"))</f>
        <v/>
      </c>
      <c r="E6" s="18">
        <f>IF(A6="","",COUNTIFS('Trade Log'!B$2:B$201,A6,'Trade Log'!E$2:E$201,"SHORT"))</f>
        <v/>
      </c>
      <c r="F6" s="21">
        <f>IF(A6="","",SUMIFS('Trade Log'!R$2:R$201,'Trade Log'!B$2:B$201,A6,'Trade Log'!E$2:E$201,"LONG"))</f>
        <v/>
      </c>
      <c r="G6" s="21">
        <f>IF(A6="","",SUMIFS('Trade Log'!R$2:R$201,'Trade Log'!B$2:B$201,A6,'Trade Log'!E$2:E$201,"SHORT"))</f>
        <v/>
      </c>
      <c r="H6" s="21">
        <f>IF(A6="","",F6+G6)</f>
        <v/>
      </c>
      <c r="I6" s="21">
        <f>IF(A6="","",I5+H6)</f>
        <v/>
      </c>
      <c r="J6" s="19" t="n"/>
      <c r="K6" s="19" t="n"/>
    </row>
    <row r="7" ht="15" customHeight="1" s="16">
      <c r="A7" s="19" t="n"/>
      <c r="B7" s="19" t="n"/>
      <c r="C7" s="24" t="n"/>
      <c r="D7" s="18">
        <f>IF(A7="","",COUNTIFS('Trade Log'!B$2:B$201,A7,'Trade Log'!E$2:E$201,"LONG"))</f>
        <v/>
      </c>
      <c r="E7" s="18">
        <f>IF(A7="","",COUNTIFS('Trade Log'!B$2:B$201,A7,'Trade Log'!E$2:E$201,"SHORT"))</f>
        <v/>
      </c>
      <c r="F7" s="21">
        <f>IF(A7="","",SUMIFS('Trade Log'!R$2:R$201,'Trade Log'!B$2:B$201,A7,'Trade Log'!E$2:E$201,"LONG"))</f>
        <v/>
      </c>
      <c r="G7" s="21">
        <f>IF(A7="","",SUMIFS('Trade Log'!R$2:R$201,'Trade Log'!B$2:B$201,A7,'Trade Log'!E$2:E$201,"SHORT"))</f>
        <v/>
      </c>
      <c r="H7" s="21">
        <f>IF(A7="","",F7+G7)</f>
        <v/>
      </c>
      <c r="I7" s="21">
        <f>IF(A7="","",I6+H7)</f>
        <v/>
      </c>
      <c r="J7" s="19" t="n"/>
      <c r="K7" s="19" t="n"/>
    </row>
    <row r="8" ht="15" customHeight="1" s="16">
      <c r="A8" s="19" t="n"/>
      <c r="B8" s="19" t="n"/>
      <c r="C8" s="24" t="n"/>
      <c r="D8" s="18">
        <f>IF(A8="","",COUNTIFS('Trade Log'!B$2:B$201,A8,'Trade Log'!E$2:E$201,"LONG"))</f>
        <v/>
      </c>
      <c r="E8" s="18">
        <f>IF(A8="","",COUNTIFS('Trade Log'!B$2:B$201,A8,'Trade Log'!E$2:E$201,"SHORT"))</f>
        <v/>
      </c>
      <c r="F8" s="21">
        <f>IF(A8="","",SUMIFS('Trade Log'!R$2:R$201,'Trade Log'!B$2:B$201,A8,'Trade Log'!E$2:E$201,"LONG"))</f>
        <v/>
      </c>
      <c r="G8" s="21">
        <f>IF(A8="","",SUMIFS('Trade Log'!R$2:R$201,'Trade Log'!B$2:B$201,A8,'Trade Log'!E$2:E$201,"SHORT"))</f>
        <v/>
      </c>
      <c r="H8" s="21">
        <f>IF(A8="","",F8+G8)</f>
        <v/>
      </c>
      <c r="I8" s="21">
        <f>IF(A8="","",I7+H8)</f>
        <v/>
      </c>
      <c r="J8" s="19" t="n"/>
      <c r="K8" s="19" t="n"/>
    </row>
    <row r="9" ht="15" customHeight="1" s="16">
      <c r="A9" s="19" t="n"/>
      <c r="B9" s="19" t="n"/>
      <c r="C9" s="24" t="n"/>
      <c r="D9" s="18">
        <f>IF(A9="","",COUNTIFS('Trade Log'!B$2:B$201,A9,'Trade Log'!E$2:E$201,"LONG"))</f>
        <v/>
      </c>
      <c r="E9" s="18">
        <f>IF(A9="","",COUNTIFS('Trade Log'!B$2:B$201,A9,'Trade Log'!E$2:E$201,"SHORT"))</f>
        <v/>
      </c>
      <c r="F9" s="21">
        <f>IF(A9="","",SUMIFS('Trade Log'!R$2:R$201,'Trade Log'!B$2:B$201,A9,'Trade Log'!E$2:E$201,"LONG"))</f>
        <v/>
      </c>
      <c r="G9" s="21">
        <f>IF(A9="","",SUMIFS('Trade Log'!R$2:R$201,'Trade Log'!B$2:B$201,A9,'Trade Log'!E$2:E$201,"SHORT"))</f>
        <v/>
      </c>
      <c r="H9" s="21">
        <f>IF(A9="","",F9+G9)</f>
        <v/>
      </c>
      <c r="I9" s="21">
        <f>IF(A9="","",I8+H9)</f>
        <v/>
      </c>
      <c r="J9" s="19" t="n"/>
      <c r="K9" s="19" t="n"/>
    </row>
    <row r="10" ht="15" customHeight="1" s="16">
      <c r="A10" s="19" t="n"/>
      <c r="B10" s="19" t="n"/>
      <c r="C10" s="24" t="n"/>
      <c r="D10" s="18">
        <f>IF(A10="","",COUNTIFS('Trade Log'!B$2:B$201,A10,'Trade Log'!E$2:E$201,"LONG"))</f>
        <v/>
      </c>
      <c r="E10" s="18">
        <f>IF(A10="","",COUNTIFS('Trade Log'!B$2:B$201,A10,'Trade Log'!E$2:E$201,"SHORT"))</f>
        <v/>
      </c>
      <c r="F10" s="21">
        <f>IF(A10="","",SUMIFS('Trade Log'!R$2:R$201,'Trade Log'!B$2:B$201,A10,'Trade Log'!E$2:E$201,"LONG"))</f>
        <v/>
      </c>
      <c r="G10" s="21">
        <f>IF(A10="","",SUMIFS('Trade Log'!R$2:R$201,'Trade Log'!B$2:B$201,A10,'Trade Log'!E$2:E$201,"SHORT"))</f>
        <v/>
      </c>
      <c r="H10" s="21">
        <f>IF(A10="","",F10+G10)</f>
        <v/>
      </c>
      <c r="I10" s="21">
        <f>IF(A10="","",I9+H10)</f>
        <v/>
      </c>
      <c r="J10" s="19" t="n"/>
      <c r="K10" s="19" t="n"/>
    </row>
    <row r="11" ht="15" customHeight="1" s="16">
      <c r="A11" s="19" t="n"/>
      <c r="B11" s="19" t="n"/>
      <c r="C11" s="24" t="n"/>
      <c r="D11" s="18">
        <f>IF(A11="","",COUNTIFS('Trade Log'!B$2:B$201,A11,'Trade Log'!E$2:E$201,"LONG"))</f>
        <v/>
      </c>
      <c r="E11" s="18">
        <f>IF(A11="","",COUNTIFS('Trade Log'!B$2:B$201,A11,'Trade Log'!E$2:E$201,"SHORT"))</f>
        <v/>
      </c>
      <c r="F11" s="21">
        <f>IF(A11="","",SUMIFS('Trade Log'!R$2:R$201,'Trade Log'!B$2:B$201,A11,'Trade Log'!E$2:E$201,"LONG"))</f>
        <v/>
      </c>
      <c r="G11" s="21">
        <f>IF(A11="","",SUMIFS('Trade Log'!R$2:R$201,'Trade Log'!B$2:B$201,A11,'Trade Log'!E$2:E$201,"SHORT"))</f>
        <v/>
      </c>
      <c r="H11" s="21">
        <f>IF(A11="","",F11+G11)</f>
        <v/>
      </c>
      <c r="I11" s="21">
        <f>IF(A11="","",I10+H11)</f>
        <v/>
      </c>
      <c r="J11" s="19" t="n"/>
      <c r="K11" s="19" t="n"/>
    </row>
    <row r="12" ht="15" customHeight="1" s="16">
      <c r="A12" s="19" t="n"/>
      <c r="B12" s="19" t="n"/>
      <c r="C12" s="24" t="n"/>
      <c r="D12" s="18">
        <f>IF(A12="","",COUNTIFS('Trade Log'!B$2:B$201,A12,'Trade Log'!E$2:E$201,"LONG"))</f>
        <v/>
      </c>
      <c r="E12" s="18">
        <f>IF(A12="","",COUNTIFS('Trade Log'!B$2:B$201,A12,'Trade Log'!E$2:E$201,"SHORT"))</f>
        <v/>
      </c>
      <c r="F12" s="21">
        <f>IF(A12="","",SUMIFS('Trade Log'!R$2:R$201,'Trade Log'!B$2:B$201,A12,'Trade Log'!E$2:E$201,"LONG"))</f>
        <v/>
      </c>
      <c r="G12" s="21">
        <f>IF(A12="","",SUMIFS('Trade Log'!R$2:R$201,'Trade Log'!B$2:B$201,A12,'Trade Log'!E$2:E$201,"SHORT"))</f>
        <v/>
      </c>
      <c r="H12" s="21">
        <f>IF(A12="","",F12+G12)</f>
        <v/>
      </c>
      <c r="I12" s="21">
        <f>IF(A12="","",I11+H12)</f>
        <v/>
      </c>
      <c r="J12" s="19" t="n"/>
      <c r="K12" s="19" t="n"/>
    </row>
    <row r="13" ht="15" customHeight="1" s="16">
      <c r="A13" s="19" t="n"/>
      <c r="B13" s="19" t="n"/>
      <c r="C13" s="24" t="n"/>
      <c r="D13" s="18">
        <f>IF(A13="","",COUNTIFS('Trade Log'!B$2:B$201,A13,'Trade Log'!E$2:E$201,"LONG"))</f>
        <v/>
      </c>
      <c r="E13" s="18">
        <f>IF(A13="","",COUNTIFS('Trade Log'!B$2:B$201,A13,'Trade Log'!E$2:E$201,"SHORT"))</f>
        <v/>
      </c>
      <c r="F13" s="21">
        <f>IF(A13="","",SUMIFS('Trade Log'!R$2:R$201,'Trade Log'!B$2:B$201,A13,'Trade Log'!E$2:E$201,"LONG"))</f>
        <v/>
      </c>
      <c r="G13" s="21">
        <f>IF(A13="","",SUMIFS('Trade Log'!R$2:R$201,'Trade Log'!B$2:B$201,A13,'Trade Log'!E$2:E$201,"SHORT"))</f>
        <v/>
      </c>
      <c r="H13" s="21">
        <f>IF(A13="","",F13+G13)</f>
        <v/>
      </c>
      <c r="I13" s="21">
        <f>IF(A13="","",I12+H13)</f>
        <v/>
      </c>
      <c r="J13" s="19" t="n"/>
      <c r="K13" s="19" t="n"/>
    </row>
    <row r="14" ht="15" customHeight="1" s="16">
      <c r="A14" s="19" t="n"/>
      <c r="B14" s="19" t="n"/>
      <c r="C14" s="24" t="n"/>
      <c r="D14" s="18">
        <f>IF(A14="","",COUNTIFS('Trade Log'!B$2:B$201,A14,'Trade Log'!E$2:E$201,"LONG"))</f>
        <v/>
      </c>
      <c r="E14" s="18">
        <f>IF(A14="","",COUNTIFS('Trade Log'!B$2:B$201,A14,'Trade Log'!E$2:E$201,"SHORT"))</f>
        <v/>
      </c>
      <c r="F14" s="21">
        <f>IF(A14="","",SUMIFS('Trade Log'!R$2:R$201,'Trade Log'!B$2:B$201,A14,'Trade Log'!E$2:E$201,"LONG"))</f>
        <v/>
      </c>
      <c r="G14" s="21">
        <f>IF(A14="","",SUMIFS('Trade Log'!R$2:R$201,'Trade Log'!B$2:B$201,A14,'Trade Log'!E$2:E$201,"SHORT"))</f>
        <v/>
      </c>
      <c r="H14" s="21">
        <f>IF(A14="","",F14+G14)</f>
        <v/>
      </c>
      <c r="I14" s="21">
        <f>IF(A14="","",I13+H14)</f>
        <v/>
      </c>
      <c r="J14" s="19" t="n"/>
      <c r="K14" s="19" t="n"/>
    </row>
    <row r="15" ht="15" customHeight="1" s="16">
      <c r="A15" s="19" t="n"/>
      <c r="B15" s="19" t="n"/>
      <c r="C15" s="24" t="n"/>
      <c r="D15" s="18">
        <f>IF(A15="","",COUNTIFS('Trade Log'!B$2:B$201,A15,'Trade Log'!E$2:E$201,"LONG"))</f>
        <v/>
      </c>
      <c r="E15" s="18">
        <f>IF(A15="","",COUNTIFS('Trade Log'!B$2:B$201,A15,'Trade Log'!E$2:E$201,"SHORT"))</f>
        <v/>
      </c>
      <c r="F15" s="21">
        <f>IF(A15="","",SUMIFS('Trade Log'!R$2:R$201,'Trade Log'!B$2:B$201,A15,'Trade Log'!E$2:E$201,"LONG"))</f>
        <v/>
      </c>
      <c r="G15" s="21">
        <f>IF(A15="","",SUMIFS('Trade Log'!R$2:R$201,'Trade Log'!B$2:B$201,A15,'Trade Log'!E$2:E$201,"SHORT"))</f>
        <v/>
      </c>
      <c r="H15" s="21">
        <f>IF(A15="","",F15+G15)</f>
        <v/>
      </c>
      <c r="I15" s="21">
        <f>IF(A15="","",I14+H15)</f>
        <v/>
      </c>
      <c r="J15" s="19" t="n"/>
      <c r="K15" s="19" t="n"/>
    </row>
    <row r="16" ht="15" customHeight="1" s="16">
      <c r="A16" s="19" t="n"/>
      <c r="B16" s="19" t="n"/>
      <c r="C16" s="24" t="n"/>
      <c r="D16" s="18">
        <f>IF(A16="","",COUNTIFS('Trade Log'!B$2:B$201,A16,'Trade Log'!E$2:E$201,"LONG"))</f>
        <v/>
      </c>
      <c r="E16" s="18">
        <f>IF(A16="","",COUNTIFS('Trade Log'!B$2:B$201,A16,'Trade Log'!E$2:E$201,"SHORT"))</f>
        <v/>
      </c>
      <c r="F16" s="21">
        <f>IF(A16="","",SUMIFS('Trade Log'!R$2:R$201,'Trade Log'!B$2:B$201,A16,'Trade Log'!E$2:E$201,"LONG"))</f>
        <v/>
      </c>
      <c r="G16" s="21">
        <f>IF(A16="","",SUMIFS('Trade Log'!R$2:R$201,'Trade Log'!B$2:B$201,A16,'Trade Log'!E$2:E$201,"SHORT"))</f>
        <v/>
      </c>
      <c r="H16" s="21">
        <f>IF(A16="","",F16+G16)</f>
        <v/>
      </c>
      <c r="I16" s="21">
        <f>IF(A16="","",I15+H16)</f>
        <v/>
      </c>
      <c r="J16" s="19" t="n"/>
      <c r="K16" s="19" t="n"/>
    </row>
    <row r="17" ht="15" customHeight="1" s="16">
      <c r="A17" s="19" t="n"/>
      <c r="B17" s="19" t="n"/>
      <c r="C17" s="24" t="n"/>
      <c r="D17" s="18">
        <f>IF(A17="","",COUNTIFS('Trade Log'!B$2:B$201,A17,'Trade Log'!E$2:E$201,"LONG"))</f>
        <v/>
      </c>
      <c r="E17" s="18">
        <f>IF(A17="","",COUNTIFS('Trade Log'!B$2:B$201,A17,'Trade Log'!E$2:E$201,"SHORT"))</f>
        <v/>
      </c>
      <c r="F17" s="21">
        <f>IF(A17="","",SUMIFS('Trade Log'!R$2:R$201,'Trade Log'!B$2:B$201,A17,'Trade Log'!E$2:E$201,"LONG"))</f>
        <v/>
      </c>
      <c r="G17" s="21">
        <f>IF(A17="","",SUMIFS('Trade Log'!R$2:R$201,'Trade Log'!B$2:B$201,A17,'Trade Log'!E$2:E$201,"SHORT"))</f>
        <v/>
      </c>
      <c r="H17" s="21">
        <f>IF(A17="","",F17+G17)</f>
        <v/>
      </c>
      <c r="I17" s="21">
        <f>IF(A17="","",I16+H17)</f>
        <v/>
      </c>
      <c r="J17" s="19" t="n"/>
      <c r="K17" s="19" t="n"/>
    </row>
    <row r="18" ht="15" customHeight="1" s="16">
      <c r="A18" s="19" t="n"/>
      <c r="B18" s="19" t="n"/>
      <c r="C18" s="24" t="n"/>
      <c r="D18" s="18">
        <f>IF(A18="","",COUNTIFS('Trade Log'!B$2:B$201,A18,'Trade Log'!E$2:E$201,"LONG"))</f>
        <v/>
      </c>
      <c r="E18" s="18">
        <f>IF(A18="","",COUNTIFS('Trade Log'!B$2:B$201,A18,'Trade Log'!E$2:E$201,"SHORT"))</f>
        <v/>
      </c>
      <c r="F18" s="21">
        <f>IF(A18="","",SUMIFS('Trade Log'!R$2:R$201,'Trade Log'!B$2:B$201,A18,'Trade Log'!E$2:E$201,"LONG"))</f>
        <v/>
      </c>
      <c r="G18" s="21">
        <f>IF(A18="","",SUMIFS('Trade Log'!R$2:R$201,'Trade Log'!B$2:B$201,A18,'Trade Log'!E$2:E$201,"SHORT"))</f>
        <v/>
      </c>
      <c r="H18" s="21">
        <f>IF(A18="","",F18+G18)</f>
        <v/>
      </c>
      <c r="I18" s="21">
        <f>IF(A18="","",I17+H18)</f>
        <v/>
      </c>
      <c r="J18" s="19" t="n"/>
      <c r="K18" s="19" t="n"/>
    </row>
    <row r="19" ht="15" customHeight="1" s="16">
      <c r="A19" s="19" t="n"/>
      <c r="B19" s="19" t="n"/>
      <c r="C19" s="24" t="n"/>
      <c r="D19" s="18">
        <f>IF(A19="","",COUNTIFS('Trade Log'!B$2:B$201,A19,'Trade Log'!E$2:E$201,"LONG"))</f>
        <v/>
      </c>
      <c r="E19" s="18">
        <f>IF(A19="","",COUNTIFS('Trade Log'!B$2:B$201,A19,'Trade Log'!E$2:E$201,"SHORT"))</f>
        <v/>
      </c>
      <c r="F19" s="21">
        <f>IF(A19="","",SUMIFS('Trade Log'!R$2:R$201,'Trade Log'!B$2:B$201,A19,'Trade Log'!E$2:E$201,"LONG"))</f>
        <v/>
      </c>
      <c r="G19" s="21">
        <f>IF(A19="","",SUMIFS('Trade Log'!R$2:R$201,'Trade Log'!B$2:B$201,A19,'Trade Log'!E$2:E$201,"SHORT"))</f>
        <v/>
      </c>
      <c r="H19" s="21">
        <f>IF(A19="","",F19+G19)</f>
        <v/>
      </c>
      <c r="I19" s="21">
        <f>IF(A19="","",I18+H19)</f>
        <v/>
      </c>
      <c r="J19" s="19" t="n"/>
      <c r="K19" s="19" t="n"/>
    </row>
    <row r="20" ht="15" customHeight="1" s="16">
      <c r="A20" s="19" t="n"/>
      <c r="B20" s="19" t="n"/>
      <c r="C20" s="24" t="n"/>
      <c r="D20" s="18">
        <f>IF(A20="","",COUNTIFS('Trade Log'!B$2:B$201,A20,'Trade Log'!E$2:E$201,"LONG"))</f>
        <v/>
      </c>
      <c r="E20" s="18">
        <f>IF(A20="","",COUNTIFS('Trade Log'!B$2:B$201,A20,'Trade Log'!E$2:E$201,"SHORT"))</f>
        <v/>
      </c>
      <c r="F20" s="21">
        <f>IF(A20="","",SUMIFS('Trade Log'!R$2:R$201,'Trade Log'!B$2:B$201,A20,'Trade Log'!E$2:E$201,"LONG"))</f>
        <v/>
      </c>
      <c r="G20" s="21">
        <f>IF(A20="","",SUMIFS('Trade Log'!R$2:R$201,'Trade Log'!B$2:B$201,A20,'Trade Log'!E$2:E$201,"SHORT"))</f>
        <v/>
      </c>
      <c r="H20" s="21">
        <f>IF(A20="","",F20+G20)</f>
        <v/>
      </c>
      <c r="I20" s="21">
        <f>IF(A20="","",I19+H20)</f>
        <v/>
      </c>
      <c r="J20" s="19" t="n"/>
      <c r="K20" s="19" t="n"/>
    </row>
    <row r="21" ht="15" customHeight="1" s="16">
      <c r="A21" s="19" t="n"/>
      <c r="B21" s="19" t="n"/>
      <c r="C21" s="24" t="n"/>
      <c r="D21" s="18">
        <f>IF(A21="","",COUNTIFS('Trade Log'!B$2:B$201,A21,'Trade Log'!E$2:E$201,"LONG"))</f>
        <v/>
      </c>
      <c r="E21" s="18">
        <f>IF(A21="","",COUNTIFS('Trade Log'!B$2:B$201,A21,'Trade Log'!E$2:E$201,"SHORT"))</f>
        <v/>
      </c>
      <c r="F21" s="21">
        <f>IF(A21="","",SUMIFS('Trade Log'!R$2:R$201,'Trade Log'!B$2:B$201,A21,'Trade Log'!E$2:E$201,"LONG"))</f>
        <v/>
      </c>
      <c r="G21" s="21">
        <f>IF(A21="","",SUMIFS('Trade Log'!R$2:R$201,'Trade Log'!B$2:B$201,A21,'Trade Log'!E$2:E$201,"SHORT"))</f>
        <v/>
      </c>
      <c r="H21" s="21">
        <f>IF(A21="","",F21+G21)</f>
        <v/>
      </c>
      <c r="I21" s="21">
        <f>IF(A21="","",I20+H21)</f>
        <v/>
      </c>
      <c r="J21" s="19" t="n"/>
      <c r="K21" s="19" t="n"/>
    </row>
    <row r="22" ht="15" customHeight="1" s="16">
      <c r="A22" s="19" t="n"/>
      <c r="B22" s="19" t="n"/>
      <c r="C22" s="24" t="n"/>
      <c r="D22" s="18">
        <f>IF(A22="","",COUNTIFS('Trade Log'!B$2:B$201,A22,'Trade Log'!E$2:E$201,"LONG"))</f>
        <v/>
      </c>
      <c r="E22" s="18">
        <f>IF(A22="","",COUNTIFS('Trade Log'!B$2:B$201,A22,'Trade Log'!E$2:E$201,"SHORT"))</f>
        <v/>
      </c>
      <c r="F22" s="21">
        <f>IF(A22="","",SUMIFS('Trade Log'!R$2:R$201,'Trade Log'!B$2:B$201,A22,'Trade Log'!E$2:E$201,"LONG"))</f>
        <v/>
      </c>
      <c r="G22" s="21">
        <f>IF(A22="","",SUMIFS('Trade Log'!R$2:R$201,'Trade Log'!B$2:B$201,A22,'Trade Log'!E$2:E$201,"SHORT"))</f>
        <v/>
      </c>
      <c r="H22" s="21">
        <f>IF(A22="","",F22+G22)</f>
        <v/>
      </c>
      <c r="I22" s="21">
        <f>IF(A22="","",I21+H22)</f>
        <v/>
      </c>
      <c r="J22" s="19" t="n"/>
      <c r="K22" s="19" t="n"/>
    </row>
    <row r="23" ht="15" customHeight="1" s="16">
      <c r="A23" s="19" t="n"/>
      <c r="B23" s="19" t="n"/>
      <c r="C23" s="24" t="n"/>
      <c r="D23" s="18">
        <f>IF(A23="","",COUNTIFS('Trade Log'!B$2:B$201,A23,'Trade Log'!E$2:E$201,"LONG"))</f>
        <v/>
      </c>
      <c r="E23" s="18">
        <f>IF(A23="","",COUNTIFS('Trade Log'!B$2:B$201,A23,'Trade Log'!E$2:E$201,"SHORT"))</f>
        <v/>
      </c>
      <c r="F23" s="21">
        <f>IF(A23="","",SUMIFS('Trade Log'!R$2:R$201,'Trade Log'!B$2:B$201,A23,'Trade Log'!E$2:E$201,"LONG"))</f>
        <v/>
      </c>
      <c r="G23" s="21">
        <f>IF(A23="","",SUMIFS('Trade Log'!R$2:R$201,'Trade Log'!B$2:B$201,A23,'Trade Log'!E$2:E$201,"SHORT"))</f>
        <v/>
      </c>
      <c r="H23" s="21">
        <f>IF(A23="","",F23+G23)</f>
        <v/>
      </c>
      <c r="I23" s="21">
        <f>IF(A23="","",I22+H23)</f>
        <v/>
      </c>
      <c r="J23" s="19" t="n"/>
      <c r="K23" s="19" t="n"/>
    </row>
    <row r="24" ht="15" customHeight="1" s="16">
      <c r="A24" s="19" t="n"/>
      <c r="B24" s="19" t="n"/>
      <c r="C24" s="24" t="n"/>
      <c r="D24" s="18">
        <f>IF(A24="","",COUNTIFS('Trade Log'!B$2:B$201,A24,'Trade Log'!E$2:E$201,"LONG"))</f>
        <v/>
      </c>
      <c r="E24" s="18">
        <f>IF(A24="","",COUNTIFS('Trade Log'!B$2:B$201,A24,'Trade Log'!E$2:E$201,"SHORT"))</f>
        <v/>
      </c>
      <c r="F24" s="21">
        <f>IF(A24="","",SUMIFS('Trade Log'!R$2:R$201,'Trade Log'!B$2:B$201,A24,'Trade Log'!E$2:E$201,"LONG"))</f>
        <v/>
      </c>
      <c r="G24" s="21">
        <f>IF(A24="","",SUMIFS('Trade Log'!R$2:R$201,'Trade Log'!B$2:B$201,A24,'Trade Log'!E$2:E$201,"SHORT"))</f>
        <v/>
      </c>
      <c r="H24" s="21">
        <f>IF(A24="","",F24+G24)</f>
        <v/>
      </c>
      <c r="I24" s="21">
        <f>IF(A24="","",I23+H24)</f>
        <v/>
      </c>
      <c r="J24" s="19" t="n"/>
      <c r="K24" s="19" t="n"/>
    </row>
    <row r="25" ht="15" customHeight="1" s="16">
      <c r="A25" s="19" t="n"/>
      <c r="B25" s="19" t="n"/>
      <c r="C25" s="24" t="n"/>
      <c r="D25" s="18">
        <f>IF(A25="","",COUNTIFS('Trade Log'!B$2:B$201,A25,'Trade Log'!E$2:E$201,"LONG"))</f>
        <v/>
      </c>
      <c r="E25" s="18">
        <f>IF(A25="","",COUNTIFS('Trade Log'!B$2:B$201,A25,'Trade Log'!E$2:E$201,"SHORT"))</f>
        <v/>
      </c>
      <c r="F25" s="21">
        <f>IF(A25="","",SUMIFS('Trade Log'!R$2:R$201,'Trade Log'!B$2:B$201,A25,'Trade Log'!E$2:E$201,"LONG"))</f>
        <v/>
      </c>
      <c r="G25" s="21">
        <f>IF(A25="","",SUMIFS('Trade Log'!R$2:R$201,'Trade Log'!B$2:B$201,A25,'Trade Log'!E$2:E$201,"SHORT"))</f>
        <v/>
      </c>
      <c r="H25" s="21">
        <f>IF(A25="","",F25+G25)</f>
        <v/>
      </c>
      <c r="I25" s="21">
        <f>IF(A25="","",I24+H25)</f>
        <v/>
      </c>
      <c r="J25" s="19" t="n"/>
      <c r="K25" s="19" t="n"/>
    </row>
    <row r="26" ht="15" customHeight="1" s="16">
      <c r="A26" s="19" t="n"/>
      <c r="B26" s="19" t="n"/>
      <c r="C26" s="24" t="n"/>
      <c r="D26" s="18">
        <f>IF(A26="","",COUNTIFS('Trade Log'!B$2:B$201,A26,'Trade Log'!E$2:E$201,"LONG"))</f>
        <v/>
      </c>
      <c r="E26" s="18">
        <f>IF(A26="","",COUNTIFS('Trade Log'!B$2:B$201,A26,'Trade Log'!E$2:E$201,"SHORT"))</f>
        <v/>
      </c>
      <c r="F26" s="21">
        <f>IF(A26="","",SUMIFS('Trade Log'!R$2:R$201,'Trade Log'!B$2:B$201,A26,'Trade Log'!E$2:E$201,"LONG"))</f>
        <v/>
      </c>
      <c r="G26" s="21">
        <f>IF(A26="","",SUMIFS('Trade Log'!R$2:R$201,'Trade Log'!B$2:B$201,A26,'Trade Log'!E$2:E$201,"SHORT"))</f>
        <v/>
      </c>
      <c r="H26" s="21">
        <f>IF(A26="","",F26+G26)</f>
        <v/>
      </c>
      <c r="I26" s="21">
        <f>IF(A26="","",I25+H26)</f>
        <v/>
      </c>
      <c r="J26" s="19" t="n"/>
      <c r="K26" s="19" t="n"/>
    </row>
    <row r="27" ht="15" customHeight="1" s="16">
      <c r="A27" s="19" t="n"/>
      <c r="B27" s="19" t="n"/>
      <c r="C27" s="24" t="n"/>
      <c r="D27" s="18">
        <f>IF(A27="","",COUNTIFS('Trade Log'!B$2:B$201,A27,'Trade Log'!E$2:E$201,"LONG"))</f>
        <v/>
      </c>
      <c r="E27" s="18">
        <f>IF(A27="","",COUNTIFS('Trade Log'!B$2:B$201,A27,'Trade Log'!E$2:E$201,"SHORT"))</f>
        <v/>
      </c>
      <c r="F27" s="21">
        <f>IF(A27="","",SUMIFS('Trade Log'!R$2:R$201,'Trade Log'!B$2:B$201,A27,'Trade Log'!E$2:E$201,"LONG"))</f>
        <v/>
      </c>
      <c r="G27" s="21">
        <f>IF(A27="","",SUMIFS('Trade Log'!R$2:R$201,'Trade Log'!B$2:B$201,A27,'Trade Log'!E$2:E$201,"SHORT"))</f>
        <v/>
      </c>
      <c r="H27" s="21">
        <f>IF(A27="","",F27+G27)</f>
        <v/>
      </c>
      <c r="I27" s="21">
        <f>IF(A27="","",I26+H27)</f>
        <v/>
      </c>
      <c r="J27" s="19" t="n"/>
      <c r="K27" s="19" t="n"/>
    </row>
    <row r="28" ht="15" customHeight="1" s="16">
      <c r="A28" s="19" t="n"/>
      <c r="B28" s="19" t="n"/>
      <c r="C28" s="24" t="n"/>
      <c r="D28" s="18">
        <f>IF(A28="","",COUNTIFS('Trade Log'!B$2:B$201,A28,'Trade Log'!E$2:E$201,"LONG"))</f>
        <v/>
      </c>
      <c r="E28" s="18">
        <f>IF(A28="","",COUNTIFS('Trade Log'!B$2:B$201,A28,'Trade Log'!E$2:E$201,"SHORT"))</f>
        <v/>
      </c>
      <c r="F28" s="21">
        <f>IF(A28="","",SUMIFS('Trade Log'!R$2:R$201,'Trade Log'!B$2:B$201,A28,'Trade Log'!E$2:E$201,"LONG"))</f>
        <v/>
      </c>
      <c r="G28" s="21">
        <f>IF(A28="","",SUMIFS('Trade Log'!R$2:R$201,'Trade Log'!B$2:B$201,A28,'Trade Log'!E$2:E$201,"SHORT"))</f>
        <v/>
      </c>
      <c r="H28" s="21">
        <f>IF(A28="","",F28+G28)</f>
        <v/>
      </c>
      <c r="I28" s="21">
        <f>IF(A28="","",I27+H28)</f>
        <v/>
      </c>
      <c r="J28" s="19" t="n"/>
      <c r="K28" s="19" t="n"/>
    </row>
    <row r="29" ht="15" customHeight="1" s="16">
      <c r="A29" s="19" t="n"/>
      <c r="B29" s="19" t="n"/>
      <c r="C29" s="24" t="n"/>
      <c r="D29" s="18">
        <f>IF(A29="","",COUNTIFS('Trade Log'!B$2:B$201,A29,'Trade Log'!E$2:E$201,"LONG"))</f>
        <v/>
      </c>
      <c r="E29" s="18">
        <f>IF(A29="","",COUNTIFS('Trade Log'!B$2:B$201,A29,'Trade Log'!E$2:E$201,"SHORT"))</f>
        <v/>
      </c>
      <c r="F29" s="21">
        <f>IF(A29="","",SUMIFS('Trade Log'!R$2:R$201,'Trade Log'!B$2:B$201,A29,'Trade Log'!E$2:E$201,"LONG"))</f>
        <v/>
      </c>
      <c r="G29" s="21">
        <f>IF(A29="","",SUMIFS('Trade Log'!R$2:R$201,'Trade Log'!B$2:B$201,A29,'Trade Log'!E$2:E$201,"SHORT"))</f>
        <v/>
      </c>
      <c r="H29" s="21">
        <f>IF(A29="","",F29+G29)</f>
        <v/>
      </c>
      <c r="I29" s="21">
        <f>IF(A29="","",I28+H29)</f>
        <v/>
      </c>
      <c r="J29" s="19" t="n"/>
      <c r="K29" s="19" t="n"/>
    </row>
    <row r="30" ht="15" customHeight="1" s="16">
      <c r="A30" s="19" t="n"/>
      <c r="B30" s="19" t="n"/>
      <c r="C30" s="24" t="n"/>
      <c r="D30" s="18">
        <f>IF(A30="","",COUNTIFS('Trade Log'!B$2:B$201,A30,'Trade Log'!E$2:E$201,"LONG"))</f>
        <v/>
      </c>
      <c r="E30" s="18">
        <f>IF(A30="","",COUNTIFS('Trade Log'!B$2:B$201,A30,'Trade Log'!E$2:E$201,"SHORT"))</f>
        <v/>
      </c>
      <c r="F30" s="21">
        <f>IF(A30="","",SUMIFS('Trade Log'!R$2:R$201,'Trade Log'!B$2:B$201,A30,'Trade Log'!E$2:E$201,"LONG"))</f>
        <v/>
      </c>
      <c r="G30" s="21">
        <f>IF(A30="","",SUMIFS('Trade Log'!R$2:R$201,'Trade Log'!B$2:B$201,A30,'Trade Log'!E$2:E$201,"SHORT"))</f>
        <v/>
      </c>
      <c r="H30" s="21">
        <f>IF(A30="","",F30+G30)</f>
        <v/>
      </c>
      <c r="I30" s="21">
        <f>IF(A30="","",I29+H30)</f>
        <v/>
      </c>
      <c r="J30" s="19" t="n"/>
      <c r="K30" s="19" t="n"/>
    </row>
    <row r="31" ht="15" customHeight="1" s="16">
      <c r="A31" s="19" t="n"/>
      <c r="B31" s="19" t="n"/>
      <c r="C31" s="24" t="n"/>
      <c r="D31" s="18">
        <f>IF(A31="","",COUNTIFS('Trade Log'!B$2:B$201,A31,'Trade Log'!E$2:E$201,"LONG"))</f>
        <v/>
      </c>
      <c r="E31" s="18">
        <f>IF(A31="","",COUNTIFS('Trade Log'!B$2:B$201,A31,'Trade Log'!E$2:E$201,"SHORT"))</f>
        <v/>
      </c>
      <c r="F31" s="21">
        <f>IF(A31="","",SUMIFS('Trade Log'!R$2:R$201,'Trade Log'!B$2:B$201,A31,'Trade Log'!E$2:E$201,"LONG"))</f>
        <v/>
      </c>
      <c r="G31" s="21">
        <f>IF(A31="","",SUMIFS('Trade Log'!R$2:R$201,'Trade Log'!B$2:B$201,A31,'Trade Log'!E$2:E$201,"SHORT"))</f>
        <v/>
      </c>
      <c r="H31" s="21">
        <f>IF(A31="","",F31+G31)</f>
        <v/>
      </c>
      <c r="I31" s="21">
        <f>IF(A31="","",I30+H31)</f>
        <v/>
      </c>
      <c r="J31" s="19" t="n"/>
      <c r="K31" s="19" t="n"/>
    </row>
    <row r="32" ht="15" customHeight="1" s="16">
      <c r="A32" s="19" t="n"/>
      <c r="B32" s="19" t="n"/>
      <c r="C32" s="24" t="n"/>
      <c r="D32" s="18">
        <f>IF(A32="","",COUNTIFS('Trade Log'!B$2:B$201,A32,'Trade Log'!E$2:E$201,"LONG"))</f>
        <v/>
      </c>
      <c r="E32" s="18">
        <f>IF(A32="","",COUNTIFS('Trade Log'!B$2:B$201,A32,'Trade Log'!E$2:E$201,"SHORT"))</f>
        <v/>
      </c>
      <c r="F32" s="21">
        <f>IF(A32="","",SUMIFS('Trade Log'!R$2:R$201,'Trade Log'!B$2:B$201,A32,'Trade Log'!E$2:E$201,"LONG"))</f>
        <v/>
      </c>
      <c r="G32" s="21">
        <f>IF(A32="","",SUMIFS('Trade Log'!R$2:R$201,'Trade Log'!B$2:B$201,A32,'Trade Log'!E$2:E$201,"SHORT"))</f>
        <v/>
      </c>
      <c r="H32" s="21">
        <f>IF(A32="","",F32+G32)</f>
        <v/>
      </c>
      <c r="I32" s="21">
        <f>IF(A32="","",I31+H32)</f>
        <v/>
      </c>
      <c r="J32" s="19" t="n"/>
      <c r="K32" s="19" t="n"/>
    </row>
    <row r="33" ht="15" customHeight="1" s="16">
      <c r="A33" s="19" t="n"/>
      <c r="B33" s="19" t="n"/>
      <c r="C33" s="24" t="n"/>
      <c r="D33" s="18">
        <f>IF(A33="","",COUNTIFS('Trade Log'!B$2:B$201,A33,'Trade Log'!E$2:E$201,"LONG"))</f>
        <v/>
      </c>
      <c r="E33" s="18">
        <f>IF(A33="","",COUNTIFS('Trade Log'!B$2:B$201,A33,'Trade Log'!E$2:E$201,"SHORT"))</f>
        <v/>
      </c>
      <c r="F33" s="21">
        <f>IF(A33="","",SUMIFS('Trade Log'!R$2:R$201,'Trade Log'!B$2:B$201,A33,'Trade Log'!E$2:E$201,"LONG"))</f>
        <v/>
      </c>
      <c r="G33" s="21">
        <f>IF(A33="","",SUMIFS('Trade Log'!R$2:R$201,'Trade Log'!B$2:B$201,A33,'Trade Log'!E$2:E$201,"SHORT"))</f>
        <v/>
      </c>
      <c r="H33" s="21">
        <f>IF(A33="","",F33+G33)</f>
        <v/>
      </c>
      <c r="I33" s="21">
        <f>IF(A33="","",I32+H33)</f>
        <v/>
      </c>
      <c r="J33" s="19" t="n"/>
      <c r="K33" s="19" t="n"/>
    </row>
    <row r="34" ht="15" customHeight="1" s="16">
      <c r="A34" s="19" t="n"/>
      <c r="B34" s="19" t="n"/>
      <c r="C34" s="24" t="n"/>
      <c r="D34" s="18">
        <f>IF(A34="","",COUNTIFS('Trade Log'!B$2:B$201,A34,'Trade Log'!E$2:E$201,"LONG"))</f>
        <v/>
      </c>
      <c r="E34" s="18">
        <f>IF(A34="","",COUNTIFS('Trade Log'!B$2:B$201,A34,'Trade Log'!E$2:E$201,"SHORT"))</f>
        <v/>
      </c>
      <c r="F34" s="21">
        <f>IF(A34="","",SUMIFS('Trade Log'!R$2:R$201,'Trade Log'!B$2:B$201,A34,'Trade Log'!E$2:E$201,"LONG"))</f>
        <v/>
      </c>
      <c r="G34" s="21">
        <f>IF(A34="","",SUMIFS('Trade Log'!R$2:R$201,'Trade Log'!B$2:B$201,A34,'Trade Log'!E$2:E$201,"SHORT"))</f>
        <v/>
      </c>
      <c r="H34" s="21">
        <f>IF(A34="","",F34+G34)</f>
        <v/>
      </c>
      <c r="I34" s="21">
        <f>IF(A34="","",I33+H34)</f>
        <v/>
      </c>
      <c r="J34" s="19" t="n"/>
      <c r="K34" s="19" t="n"/>
    </row>
    <row r="35" ht="15" customHeight="1" s="16">
      <c r="A35" s="19" t="n"/>
      <c r="B35" s="19" t="n"/>
      <c r="C35" s="24" t="n"/>
      <c r="D35" s="18">
        <f>IF(A35="","",COUNTIFS('Trade Log'!B$2:B$201,A35,'Trade Log'!E$2:E$201,"LONG"))</f>
        <v/>
      </c>
      <c r="E35" s="18">
        <f>IF(A35="","",COUNTIFS('Trade Log'!B$2:B$201,A35,'Trade Log'!E$2:E$201,"SHORT"))</f>
        <v/>
      </c>
      <c r="F35" s="21">
        <f>IF(A35="","",SUMIFS('Trade Log'!R$2:R$201,'Trade Log'!B$2:B$201,A35,'Trade Log'!E$2:E$201,"LONG"))</f>
        <v/>
      </c>
      <c r="G35" s="21">
        <f>IF(A35="","",SUMIFS('Trade Log'!R$2:R$201,'Trade Log'!B$2:B$201,A35,'Trade Log'!E$2:E$201,"SHORT"))</f>
        <v/>
      </c>
      <c r="H35" s="21">
        <f>IF(A35="","",F35+G35)</f>
        <v/>
      </c>
      <c r="I35" s="21">
        <f>IF(A35="","",I34+H35)</f>
        <v/>
      </c>
      <c r="J35" s="19" t="n"/>
      <c r="K35" s="19" t="n"/>
    </row>
    <row r="36" ht="15" customHeight="1" s="16">
      <c r="A36" s="19" t="n"/>
      <c r="B36" s="19" t="n"/>
      <c r="C36" s="24" t="n"/>
      <c r="D36" s="18">
        <f>IF(A36="","",COUNTIFS('Trade Log'!B$2:B$201,A36,'Trade Log'!E$2:E$201,"LONG"))</f>
        <v/>
      </c>
      <c r="E36" s="18">
        <f>IF(A36="","",COUNTIFS('Trade Log'!B$2:B$201,A36,'Trade Log'!E$2:E$201,"SHORT"))</f>
        <v/>
      </c>
      <c r="F36" s="21">
        <f>IF(A36="","",SUMIFS('Trade Log'!R$2:R$201,'Trade Log'!B$2:B$201,A36,'Trade Log'!E$2:E$201,"LONG"))</f>
        <v/>
      </c>
      <c r="G36" s="21">
        <f>IF(A36="","",SUMIFS('Trade Log'!R$2:R$201,'Trade Log'!B$2:B$201,A36,'Trade Log'!E$2:E$201,"SHORT"))</f>
        <v/>
      </c>
      <c r="H36" s="21">
        <f>IF(A36="","",F36+G36)</f>
        <v/>
      </c>
      <c r="I36" s="21">
        <f>IF(A36="","",I35+H36)</f>
        <v/>
      </c>
      <c r="J36" s="19" t="n"/>
      <c r="K36" s="19" t="n"/>
    </row>
    <row r="37" ht="15" customHeight="1" s="16">
      <c r="A37" s="19" t="n"/>
      <c r="B37" s="19" t="n"/>
      <c r="C37" s="24" t="n"/>
      <c r="D37" s="18">
        <f>IF(A37="","",COUNTIFS('Trade Log'!B$2:B$201,A37,'Trade Log'!E$2:E$201,"LONG"))</f>
        <v/>
      </c>
      <c r="E37" s="18">
        <f>IF(A37="","",COUNTIFS('Trade Log'!B$2:B$201,A37,'Trade Log'!E$2:E$201,"SHORT"))</f>
        <v/>
      </c>
      <c r="F37" s="21">
        <f>IF(A37="","",SUMIFS('Trade Log'!R$2:R$201,'Trade Log'!B$2:B$201,A37,'Trade Log'!E$2:E$201,"LONG"))</f>
        <v/>
      </c>
      <c r="G37" s="21">
        <f>IF(A37="","",SUMIFS('Trade Log'!R$2:R$201,'Trade Log'!B$2:B$201,A37,'Trade Log'!E$2:E$201,"SHORT"))</f>
        <v/>
      </c>
      <c r="H37" s="21">
        <f>IF(A37="","",F37+G37)</f>
        <v/>
      </c>
      <c r="I37" s="21">
        <f>IF(A37="","",I36+H37)</f>
        <v/>
      </c>
      <c r="J37" s="19" t="n"/>
      <c r="K37" s="19" t="n"/>
    </row>
    <row r="38" ht="15" customHeight="1" s="16">
      <c r="A38" s="19" t="n"/>
      <c r="B38" s="19" t="n"/>
      <c r="C38" s="24" t="n"/>
      <c r="D38" s="18">
        <f>IF(A38="","",COUNTIFS('Trade Log'!B$2:B$201,A38,'Trade Log'!E$2:E$201,"LONG"))</f>
        <v/>
      </c>
      <c r="E38" s="18">
        <f>IF(A38="","",COUNTIFS('Trade Log'!B$2:B$201,A38,'Trade Log'!E$2:E$201,"SHORT"))</f>
        <v/>
      </c>
      <c r="F38" s="21">
        <f>IF(A38="","",SUMIFS('Trade Log'!R$2:R$201,'Trade Log'!B$2:B$201,A38,'Trade Log'!E$2:E$201,"LONG"))</f>
        <v/>
      </c>
      <c r="G38" s="21">
        <f>IF(A38="","",SUMIFS('Trade Log'!R$2:R$201,'Trade Log'!B$2:B$201,A38,'Trade Log'!E$2:E$201,"SHORT"))</f>
        <v/>
      </c>
      <c r="H38" s="21">
        <f>IF(A38="","",F38+G38)</f>
        <v/>
      </c>
      <c r="I38" s="21">
        <f>IF(A38="","",I37+H38)</f>
        <v/>
      </c>
      <c r="J38" s="19" t="n"/>
      <c r="K38" s="19" t="n"/>
    </row>
    <row r="39" ht="15" customHeight="1" s="16">
      <c r="A39" s="19" t="n"/>
      <c r="B39" s="19" t="n"/>
      <c r="C39" s="24" t="n"/>
      <c r="D39" s="18">
        <f>IF(A39="","",COUNTIFS('Trade Log'!B$2:B$201,A39,'Trade Log'!E$2:E$201,"LONG"))</f>
        <v/>
      </c>
      <c r="E39" s="18">
        <f>IF(A39="","",COUNTIFS('Trade Log'!B$2:B$201,A39,'Trade Log'!E$2:E$201,"SHORT"))</f>
        <v/>
      </c>
      <c r="F39" s="21">
        <f>IF(A39="","",SUMIFS('Trade Log'!R$2:R$201,'Trade Log'!B$2:B$201,A39,'Trade Log'!E$2:E$201,"LONG"))</f>
        <v/>
      </c>
      <c r="G39" s="21">
        <f>IF(A39="","",SUMIFS('Trade Log'!R$2:R$201,'Trade Log'!B$2:B$201,A39,'Trade Log'!E$2:E$201,"SHORT"))</f>
        <v/>
      </c>
      <c r="H39" s="21">
        <f>IF(A39="","",F39+G39)</f>
        <v/>
      </c>
      <c r="I39" s="21">
        <f>IF(A39="","",I38+H39)</f>
        <v/>
      </c>
      <c r="J39" s="19" t="n"/>
      <c r="K39" s="19" t="n"/>
    </row>
    <row r="40" ht="15" customHeight="1" s="16">
      <c r="A40" s="19" t="n"/>
      <c r="B40" s="19" t="n"/>
      <c r="C40" s="24" t="n"/>
      <c r="D40" s="18">
        <f>IF(A40="","",COUNTIFS('Trade Log'!B$2:B$201,A40,'Trade Log'!E$2:E$201,"LONG"))</f>
        <v/>
      </c>
      <c r="E40" s="18">
        <f>IF(A40="","",COUNTIFS('Trade Log'!B$2:B$201,A40,'Trade Log'!E$2:E$201,"SHORT"))</f>
        <v/>
      </c>
      <c r="F40" s="21">
        <f>IF(A40="","",SUMIFS('Trade Log'!R$2:R$201,'Trade Log'!B$2:B$201,A40,'Trade Log'!E$2:E$201,"LONG"))</f>
        <v/>
      </c>
      <c r="G40" s="21">
        <f>IF(A40="","",SUMIFS('Trade Log'!R$2:R$201,'Trade Log'!B$2:B$201,A40,'Trade Log'!E$2:E$201,"SHORT"))</f>
        <v/>
      </c>
      <c r="H40" s="21">
        <f>IF(A40="","",F40+G40)</f>
        <v/>
      </c>
      <c r="I40" s="21">
        <f>IF(A40="","",I39+H40)</f>
        <v/>
      </c>
      <c r="J40" s="19" t="n"/>
      <c r="K40" s="19" t="n"/>
    </row>
    <row r="41" ht="15" customHeight="1" s="16">
      <c r="A41" s="19" t="n"/>
      <c r="B41" s="19" t="n"/>
      <c r="C41" s="24" t="n"/>
      <c r="D41" s="18">
        <f>IF(A41="","",COUNTIFS('Trade Log'!B$2:B$201,A41,'Trade Log'!E$2:E$201,"LONG"))</f>
        <v/>
      </c>
      <c r="E41" s="18">
        <f>IF(A41="","",COUNTIFS('Trade Log'!B$2:B$201,A41,'Trade Log'!E$2:E$201,"SHORT"))</f>
        <v/>
      </c>
      <c r="F41" s="21">
        <f>IF(A41="","",SUMIFS('Trade Log'!R$2:R$201,'Trade Log'!B$2:B$201,A41,'Trade Log'!E$2:E$201,"LONG"))</f>
        <v/>
      </c>
      <c r="G41" s="21">
        <f>IF(A41="","",SUMIFS('Trade Log'!R$2:R$201,'Trade Log'!B$2:B$201,A41,'Trade Log'!E$2:E$201,"SHORT"))</f>
        <v/>
      </c>
      <c r="H41" s="21">
        <f>IF(A41="","",F41+G41)</f>
        <v/>
      </c>
      <c r="I41" s="21">
        <f>IF(A41="","",I40+H41)</f>
        <v/>
      </c>
      <c r="J41" s="19" t="n"/>
      <c r="K41" s="19" t="n"/>
    </row>
    <row r="42" ht="15" customHeight="1" s="16">
      <c r="A42" s="19" t="n"/>
      <c r="B42" s="19" t="n"/>
      <c r="C42" s="24" t="n"/>
      <c r="D42" s="18">
        <f>IF(A42="","",COUNTIFS('Trade Log'!B$2:B$201,A42,'Trade Log'!E$2:E$201,"LONG"))</f>
        <v/>
      </c>
      <c r="E42" s="18">
        <f>IF(A42="","",COUNTIFS('Trade Log'!B$2:B$201,A42,'Trade Log'!E$2:E$201,"SHORT"))</f>
        <v/>
      </c>
      <c r="F42" s="21">
        <f>IF(A42="","",SUMIFS('Trade Log'!R$2:R$201,'Trade Log'!B$2:B$201,A42,'Trade Log'!E$2:E$201,"LONG"))</f>
        <v/>
      </c>
      <c r="G42" s="21">
        <f>IF(A42="","",SUMIFS('Trade Log'!R$2:R$201,'Trade Log'!B$2:B$201,A42,'Trade Log'!E$2:E$201,"SHORT"))</f>
        <v/>
      </c>
      <c r="H42" s="21">
        <f>IF(A42="","",F42+G42)</f>
        <v/>
      </c>
      <c r="I42" s="21">
        <f>IF(A42="","",I41+H42)</f>
        <v/>
      </c>
      <c r="J42" s="19" t="n"/>
      <c r="K42" s="19" t="n"/>
    </row>
    <row r="43" ht="15" customHeight="1" s="16">
      <c r="A43" s="19" t="n"/>
      <c r="B43" s="19" t="n"/>
      <c r="C43" s="24" t="n"/>
      <c r="D43" s="18">
        <f>IF(A43="","",COUNTIFS('Trade Log'!B$2:B$201,A43,'Trade Log'!E$2:E$201,"LONG"))</f>
        <v/>
      </c>
      <c r="E43" s="18">
        <f>IF(A43="","",COUNTIFS('Trade Log'!B$2:B$201,A43,'Trade Log'!E$2:E$201,"SHORT"))</f>
        <v/>
      </c>
      <c r="F43" s="21">
        <f>IF(A43="","",SUMIFS('Trade Log'!R$2:R$201,'Trade Log'!B$2:B$201,A43,'Trade Log'!E$2:E$201,"LONG"))</f>
        <v/>
      </c>
      <c r="G43" s="21">
        <f>IF(A43="","",SUMIFS('Trade Log'!R$2:R$201,'Trade Log'!B$2:B$201,A43,'Trade Log'!E$2:E$201,"SHORT"))</f>
        <v/>
      </c>
      <c r="H43" s="21">
        <f>IF(A43="","",F43+G43)</f>
        <v/>
      </c>
      <c r="I43" s="21">
        <f>IF(A43="","",I42+H43)</f>
        <v/>
      </c>
      <c r="J43" s="19" t="n"/>
      <c r="K43" s="19" t="n"/>
    </row>
    <row r="44" ht="15" customHeight="1" s="16">
      <c r="A44" s="19" t="n"/>
      <c r="B44" s="19" t="n"/>
      <c r="C44" s="24" t="n"/>
      <c r="D44" s="18">
        <f>IF(A44="","",COUNTIFS('Trade Log'!B$2:B$201,A44,'Trade Log'!E$2:E$201,"LONG"))</f>
        <v/>
      </c>
      <c r="E44" s="18">
        <f>IF(A44="","",COUNTIFS('Trade Log'!B$2:B$201,A44,'Trade Log'!E$2:E$201,"SHORT"))</f>
        <v/>
      </c>
      <c r="F44" s="21">
        <f>IF(A44="","",SUMIFS('Trade Log'!R$2:R$201,'Trade Log'!B$2:B$201,A44,'Trade Log'!E$2:E$201,"LONG"))</f>
        <v/>
      </c>
      <c r="G44" s="21">
        <f>IF(A44="","",SUMIFS('Trade Log'!R$2:R$201,'Trade Log'!B$2:B$201,A44,'Trade Log'!E$2:E$201,"SHORT"))</f>
        <v/>
      </c>
      <c r="H44" s="21">
        <f>IF(A44="","",F44+G44)</f>
        <v/>
      </c>
      <c r="I44" s="21">
        <f>IF(A44="","",I43+H44)</f>
        <v/>
      </c>
      <c r="J44" s="19" t="n"/>
      <c r="K44" s="19" t="n"/>
    </row>
    <row r="45" ht="15" customHeight="1" s="16">
      <c r="A45" s="19" t="n"/>
      <c r="B45" s="19" t="n"/>
      <c r="C45" s="24" t="n"/>
      <c r="D45" s="18">
        <f>IF(A45="","",COUNTIFS('Trade Log'!B$2:B$201,A45,'Trade Log'!E$2:E$201,"LONG"))</f>
        <v/>
      </c>
      <c r="E45" s="18">
        <f>IF(A45="","",COUNTIFS('Trade Log'!B$2:B$201,A45,'Trade Log'!E$2:E$201,"SHORT"))</f>
        <v/>
      </c>
      <c r="F45" s="21">
        <f>IF(A45="","",SUMIFS('Trade Log'!R$2:R$201,'Trade Log'!B$2:B$201,A45,'Trade Log'!E$2:E$201,"LONG"))</f>
        <v/>
      </c>
      <c r="G45" s="21">
        <f>IF(A45="","",SUMIFS('Trade Log'!R$2:R$201,'Trade Log'!B$2:B$201,A45,'Trade Log'!E$2:E$201,"SHORT"))</f>
        <v/>
      </c>
      <c r="H45" s="21">
        <f>IF(A45="","",F45+G45)</f>
        <v/>
      </c>
      <c r="I45" s="21">
        <f>IF(A45="","",I44+H45)</f>
        <v/>
      </c>
      <c r="J45" s="19" t="n"/>
      <c r="K45" s="19" t="n"/>
    </row>
    <row r="46" ht="15" customHeight="1" s="16">
      <c r="A46" s="19" t="n"/>
      <c r="B46" s="19" t="n"/>
      <c r="C46" s="24" t="n"/>
      <c r="D46" s="18">
        <f>IF(A46="","",COUNTIFS('Trade Log'!B$2:B$201,A46,'Trade Log'!E$2:E$201,"LONG"))</f>
        <v/>
      </c>
      <c r="E46" s="18">
        <f>IF(A46="","",COUNTIFS('Trade Log'!B$2:B$201,A46,'Trade Log'!E$2:E$201,"SHORT"))</f>
        <v/>
      </c>
      <c r="F46" s="21">
        <f>IF(A46="","",SUMIFS('Trade Log'!R$2:R$201,'Trade Log'!B$2:B$201,A46,'Trade Log'!E$2:E$201,"LONG"))</f>
        <v/>
      </c>
      <c r="G46" s="21">
        <f>IF(A46="","",SUMIFS('Trade Log'!R$2:R$201,'Trade Log'!B$2:B$201,A46,'Trade Log'!E$2:E$201,"SHORT"))</f>
        <v/>
      </c>
      <c r="H46" s="21">
        <f>IF(A46="","",F46+G46)</f>
        <v/>
      </c>
      <c r="I46" s="21">
        <f>IF(A46="","",I45+H46)</f>
        <v/>
      </c>
      <c r="J46" s="19" t="n"/>
      <c r="K46" s="19" t="n"/>
    </row>
    <row r="47" ht="15" customHeight="1" s="16">
      <c r="A47" s="19" t="n"/>
      <c r="B47" s="19" t="n"/>
      <c r="C47" s="24" t="n"/>
      <c r="D47" s="18">
        <f>IF(A47="","",COUNTIFS('Trade Log'!B$2:B$201,A47,'Trade Log'!E$2:E$201,"LONG"))</f>
        <v/>
      </c>
      <c r="E47" s="18">
        <f>IF(A47="","",COUNTIFS('Trade Log'!B$2:B$201,A47,'Trade Log'!E$2:E$201,"SHORT"))</f>
        <v/>
      </c>
      <c r="F47" s="21">
        <f>IF(A47="","",SUMIFS('Trade Log'!R$2:R$201,'Trade Log'!B$2:B$201,A47,'Trade Log'!E$2:E$201,"LONG"))</f>
        <v/>
      </c>
      <c r="G47" s="21">
        <f>IF(A47="","",SUMIFS('Trade Log'!R$2:R$201,'Trade Log'!B$2:B$201,A47,'Trade Log'!E$2:E$201,"SHORT"))</f>
        <v/>
      </c>
      <c r="H47" s="21">
        <f>IF(A47="","",F47+G47)</f>
        <v/>
      </c>
      <c r="I47" s="21">
        <f>IF(A47="","",I46+H47)</f>
        <v/>
      </c>
      <c r="J47" s="19" t="n"/>
      <c r="K47" s="19" t="n"/>
    </row>
    <row r="48" ht="15" customHeight="1" s="16">
      <c r="A48" s="19" t="n"/>
      <c r="B48" s="19" t="n"/>
      <c r="C48" s="24" t="n"/>
      <c r="D48" s="18">
        <f>IF(A48="","",COUNTIFS('Trade Log'!B$2:B$201,A48,'Trade Log'!E$2:E$201,"LONG"))</f>
        <v/>
      </c>
      <c r="E48" s="18">
        <f>IF(A48="","",COUNTIFS('Trade Log'!B$2:B$201,A48,'Trade Log'!E$2:E$201,"SHORT"))</f>
        <v/>
      </c>
      <c r="F48" s="21">
        <f>IF(A48="","",SUMIFS('Trade Log'!R$2:R$201,'Trade Log'!B$2:B$201,A48,'Trade Log'!E$2:E$201,"LONG"))</f>
        <v/>
      </c>
      <c r="G48" s="21">
        <f>IF(A48="","",SUMIFS('Trade Log'!R$2:R$201,'Trade Log'!B$2:B$201,A48,'Trade Log'!E$2:E$201,"SHORT"))</f>
        <v/>
      </c>
      <c r="H48" s="21">
        <f>IF(A48="","",F48+G48)</f>
        <v/>
      </c>
      <c r="I48" s="21">
        <f>IF(A48="","",I47+H48)</f>
        <v/>
      </c>
      <c r="J48" s="19" t="n"/>
      <c r="K48" s="19" t="n"/>
    </row>
    <row r="49" ht="15" customHeight="1" s="16">
      <c r="A49" s="19" t="n"/>
      <c r="B49" s="19" t="n"/>
      <c r="C49" s="24" t="n"/>
      <c r="D49" s="18">
        <f>IF(A49="","",COUNTIFS('Trade Log'!B$2:B$201,A49,'Trade Log'!E$2:E$201,"LONG"))</f>
        <v/>
      </c>
      <c r="E49" s="18">
        <f>IF(A49="","",COUNTIFS('Trade Log'!B$2:B$201,A49,'Trade Log'!E$2:E$201,"SHORT"))</f>
        <v/>
      </c>
      <c r="F49" s="21">
        <f>IF(A49="","",SUMIFS('Trade Log'!R$2:R$201,'Trade Log'!B$2:B$201,A49,'Trade Log'!E$2:E$201,"LONG"))</f>
        <v/>
      </c>
      <c r="G49" s="21">
        <f>IF(A49="","",SUMIFS('Trade Log'!R$2:R$201,'Trade Log'!B$2:B$201,A49,'Trade Log'!E$2:E$201,"SHORT"))</f>
        <v/>
      </c>
      <c r="H49" s="21">
        <f>IF(A49="","",F49+G49)</f>
        <v/>
      </c>
      <c r="I49" s="21">
        <f>IF(A49="","",I48+H49)</f>
        <v/>
      </c>
      <c r="J49" s="19" t="n"/>
      <c r="K49" s="19" t="n"/>
    </row>
    <row r="50" ht="15" customHeight="1" s="16">
      <c r="A50" s="19" t="n"/>
      <c r="B50" s="19" t="n"/>
      <c r="C50" s="24" t="n"/>
      <c r="D50" s="18">
        <f>IF(A50="","",COUNTIFS('Trade Log'!B$2:B$201,A50,'Trade Log'!E$2:E$201,"LONG"))</f>
        <v/>
      </c>
      <c r="E50" s="18">
        <f>IF(A50="","",COUNTIFS('Trade Log'!B$2:B$201,A50,'Trade Log'!E$2:E$201,"SHORT"))</f>
        <v/>
      </c>
      <c r="F50" s="21">
        <f>IF(A50="","",SUMIFS('Trade Log'!R$2:R$201,'Trade Log'!B$2:B$201,A50,'Trade Log'!E$2:E$201,"LONG"))</f>
        <v/>
      </c>
      <c r="G50" s="21">
        <f>IF(A50="","",SUMIFS('Trade Log'!R$2:R$201,'Trade Log'!B$2:B$201,A50,'Trade Log'!E$2:E$201,"SHORT"))</f>
        <v/>
      </c>
      <c r="H50" s="21">
        <f>IF(A50="","",F50+G50)</f>
        <v/>
      </c>
      <c r="I50" s="21">
        <f>IF(A50="","",I49+H50)</f>
        <v/>
      </c>
      <c r="J50" s="19" t="n"/>
      <c r="K50" s="19" t="n"/>
    </row>
    <row r="51" ht="15" customHeight="1" s="16">
      <c r="A51" s="19" t="n"/>
      <c r="B51" s="19" t="n"/>
      <c r="C51" s="24" t="n"/>
      <c r="D51" s="18">
        <f>IF(A51="","",COUNTIFS('Trade Log'!B$2:B$201,A51,'Trade Log'!E$2:E$201,"LONG"))</f>
        <v/>
      </c>
      <c r="E51" s="18">
        <f>IF(A51="","",COUNTIFS('Trade Log'!B$2:B$201,A51,'Trade Log'!E$2:E$201,"SHORT"))</f>
        <v/>
      </c>
      <c r="F51" s="21">
        <f>IF(A51="","",SUMIFS('Trade Log'!R$2:R$201,'Trade Log'!B$2:B$201,A51,'Trade Log'!E$2:E$201,"LONG"))</f>
        <v/>
      </c>
      <c r="G51" s="21">
        <f>IF(A51="","",SUMIFS('Trade Log'!R$2:R$201,'Trade Log'!B$2:B$201,A51,'Trade Log'!E$2:E$201,"SHORT"))</f>
        <v/>
      </c>
      <c r="H51" s="21">
        <f>IF(A51="","",F51+G51)</f>
        <v/>
      </c>
      <c r="I51" s="21">
        <f>IF(A51="","",I50+H51)</f>
        <v/>
      </c>
      <c r="J51" s="19" t="n"/>
      <c r="K51" s="19" t="n"/>
    </row>
    <row r="52" ht="15" customHeight="1" s="16">
      <c r="A52" s="19" t="n"/>
      <c r="B52" s="19" t="n"/>
      <c r="C52" s="24" t="n"/>
      <c r="D52" s="18">
        <f>IF(A52="","",COUNTIFS('Trade Log'!B$2:B$201,A52,'Trade Log'!E$2:E$201,"LONG"))</f>
        <v/>
      </c>
      <c r="E52" s="18">
        <f>IF(A52="","",COUNTIFS('Trade Log'!B$2:B$201,A52,'Trade Log'!E$2:E$201,"SHORT"))</f>
        <v/>
      </c>
      <c r="F52" s="21">
        <f>IF(A52="","",SUMIFS('Trade Log'!R$2:R$201,'Trade Log'!B$2:B$201,A52,'Trade Log'!E$2:E$201,"LONG"))</f>
        <v/>
      </c>
      <c r="G52" s="21">
        <f>IF(A52="","",SUMIFS('Trade Log'!R$2:R$201,'Trade Log'!B$2:B$201,A52,'Trade Log'!E$2:E$201,"SHORT"))</f>
        <v/>
      </c>
      <c r="H52" s="21">
        <f>IF(A52="","",F52+G52)</f>
        <v/>
      </c>
      <c r="I52" s="21">
        <f>IF(A52="","",I51+H52)</f>
        <v/>
      </c>
      <c r="J52" s="19" t="n"/>
      <c r="K52" s="19" t="n"/>
    </row>
    <row r="53" ht="15" customHeight="1" s="16">
      <c r="A53" s="19" t="n"/>
      <c r="B53" s="19" t="n"/>
      <c r="C53" s="24" t="n"/>
      <c r="D53" s="18">
        <f>IF(A53="","",COUNTIFS('Trade Log'!B$2:B$201,A53,'Trade Log'!E$2:E$201,"LONG"))</f>
        <v/>
      </c>
      <c r="E53" s="18">
        <f>IF(A53="","",COUNTIFS('Trade Log'!B$2:B$201,A53,'Trade Log'!E$2:E$201,"SHORT"))</f>
        <v/>
      </c>
      <c r="F53" s="21">
        <f>IF(A53="","",SUMIFS('Trade Log'!R$2:R$201,'Trade Log'!B$2:B$201,A53,'Trade Log'!E$2:E$201,"LONG"))</f>
        <v/>
      </c>
      <c r="G53" s="21">
        <f>IF(A53="","",SUMIFS('Trade Log'!R$2:R$201,'Trade Log'!B$2:B$201,A53,'Trade Log'!E$2:E$201,"SHORT"))</f>
        <v/>
      </c>
      <c r="H53" s="21">
        <f>IF(A53="","",F53+G53)</f>
        <v/>
      </c>
      <c r="I53" s="21">
        <f>IF(A53="","",I52+H53)</f>
        <v/>
      </c>
      <c r="J53" s="19" t="n"/>
      <c r="K53" s="19" t="n"/>
    </row>
    <row r="54" ht="15" customHeight="1" s="16">
      <c r="A54" s="19" t="n"/>
      <c r="B54" s="19" t="n"/>
      <c r="C54" s="24" t="n"/>
      <c r="D54" s="18">
        <f>IF(A54="","",COUNTIFS('Trade Log'!B$2:B$201,A54,'Trade Log'!E$2:E$201,"LONG"))</f>
        <v/>
      </c>
      <c r="E54" s="18">
        <f>IF(A54="","",COUNTIFS('Trade Log'!B$2:B$201,A54,'Trade Log'!E$2:E$201,"SHORT"))</f>
        <v/>
      </c>
      <c r="F54" s="21">
        <f>IF(A54="","",SUMIFS('Trade Log'!R$2:R$201,'Trade Log'!B$2:B$201,A54,'Trade Log'!E$2:E$201,"LONG"))</f>
        <v/>
      </c>
      <c r="G54" s="21">
        <f>IF(A54="","",SUMIFS('Trade Log'!R$2:R$201,'Trade Log'!B$2:B$201,A54,'Trade Log'!E$2:E$201,"SHORT"))</f>
        <v/>
      </c>
      <c r="H54" s="21">
        <f>IF(A54="","",F54+G54)</f>
        <v/>
      </c>
      <c r="I54" s="21">
        <f>IF(A54="","",I53+H54)</f>
        <v/>
      </c>
      <c r="J54" s="19" t="n"/>
      <c r="K54" s="19" t="n"/>
    </row>
    <row r="55" ht="15" customHeight="1" s="16">
      <c r="A55" s="19" t="n"/>
      <c r="B55" s="19" t="n"/>
      <c r="C55" s="24" t="n"/>
      <c r="D55" s="18">
        <f>IF(A55="","",COUNTIFS('Trade Log'!B$2:B$201,A55,'Trade Log'!E$2:E$201,"LONG"))</f>
        <v/>
      </c>
      <c r="E55" s="18">
        <f>IF(A55="","",COUNTIFS('Trade Log'!B$2:B$201,A55,'Trade Log'!E$2:E$201,"SHORT"))</f>
        <v/>
      </c>
      <c r="F55" s="21">
        <f>IF(A55="","",SUMIFS('Trade Log'!R$2:R$201,'Trade Log'!B$2:B$201,A55,'Trade Log'!E$2:E$201,"LONG"))</f>
        <v/>
      </c>
      <c r="G55" s="21">
        <f>IF(A55="","",SUMIFS('Trade Log'!R$2:R$201,'Trade Log'!B$2:B$201,A55,'Trade Log'!E$2:E$201,"SHORT"))</f>
        <v/>
      </c>
      <c r="H55" s="21">
        <f>IF(A55="","",F55+G55)</f>
        <v/>
      </c>
      <c r="I55" s="21">
        <f>IF(A55="","",I54+H55)</f>
        <v/>
      </c>
      <c r="J55" s="19" t="n"/>
      <c r="K55" s="19" t="n"/>
    </row>
    <row r="56" ht="15" customHeight="1" s="16">
      <c r="A56" s="19" t="n"/>
      <c r="B56" s="19" t="n"/>
      <c r="C56" s="24" t="n"/>
      <c r="D56" s="18">
        <f>IF(A56="","",COUNTIFS('Trade Log'!B$2:B$201,A56,'Trade Log'!E$2:E$201,"LONG"))</f>
        <v/>
      </c>
      <c r="E56" s="18">
        <f>IF(A56="","",COUNTIFS('Trade Log'!B$2:B$201,A56,'Trade Log'!E$2:E$201,"SHORT"))</f>
        <v/>
      </c>
      <c r="F56" s="21">
        <f>IF(A56="","",SUMIFS('Trade Log'!R$2:R$201,'Trade Log'!B$2:B$201,A56,'Trade Log'!E$2:E$201,"LONG"))</f>
        <v/>
      </c>
      <c r="G56" s="21">
        <f>IF(A56="","",SUMIFS('Trade Log'!R$2:R$201,'Trade Log'!B$2:B$201,A56,'Trade Log'!E$2:E$201,"SHORT"))</f>
        <v/>
      </c>
      <c r="H56" s="21">
        <f>IF(A56="","",F56+G56)</f>
        <v/>
      </c>
      <c r="I56" s="21">
        <f>IF(A56="","",I55+H56)</f>
        <v/>
      </c>
      <c r="J56" s="19" t="n"/>
      <c r="K56" s="19" t="n"/>
    </row>
    <row r="57" ht="15" customHeight="1" s="16">
      <c r="A57" s="19" t="n"/>
      <c r="B57" s="19" t="n"/>
      <c r="C57" s="24" t="n"/>
      <c r="D57" s="18">
        <f>IF(A57="","",COUNTIFS('Trade Log'!B$2:B$201,A57,'Trade Log'!E$2:E$201,"LONG"))</f>
        <v/>
      </c>
      <c r="E57" s="18">
        <f>IF(A57="","",COUNTIFS('Trade Log'!B$2:B$201,A57,'Trade Log'!E$2:E$201,"SHORT"))</f>
        <v/>
      </c>
      <c r="F57" s="21">
        <f>IF(A57="","",SUMIFS('Trade Log'!R$2:R$201,'Trade Log'!B$2:B$201,A57,'Trade Log'!E$2:E$201,"LONG"))</f>
        <v/>
      </c>
      <c r="G57" s="21">
        <f>IF(A57="","",SUMIFS('Trade Log'!R$2:R$201,'Trade Log'!B$2:B$201,A57,'Trade Log'!E$2:E$201,"SHORT"))</f>
        <v/>
      </c>
      <c r="H57" s="21">
        <f>IF(A57="","",F57+G57)</f>
        <v/>
      </c>
      <c r="I57" s="21">
        <f>IF(A57="","",I56+H57)</f>
        <v/>
      </c>
      <c r="J57" s="19" t="n"/>
      <c r="K57" s="19" t="n"/>
    </row>
    <row r="58" ht="15" customHeight="1" s="16">
      <c r="A58" s="19" t="n"/>
      <c r="B58" s="19" t="n"/>
      <c r="C58" s="24" t="n"/>
      <c r="D58" s="18">
        <f>IF(A58="","",COUNTIFS('Trade Log'!B$2:B$201,A58,'Trade Log'!E$2:E$201,"LONG"))</f>
        <v/>
      </c>
      <c r="E58" s="18">
        <f>IF(A58="","",COUNTIFS('Trade Log'!B$2:B$201,A58,'Trade Log'!E$2:E$201,"SHORT"))</f>
        <v/>
      </c>
      <c r="F58" s="21">
        <f>IF(A58="","",SUMIFS('Trade Log'!R$2:R$201,'Trade Log'!B$2:B$201,A58,'Trade Log'!E$2:E$201,"LONG"))</f>
        <v/>
      </c>
      <c r="G58" s="21">
        <f>IF(A58="","",SUMIFS('Trade Log'!R$2:R$201,'Trade Log'!B$2:B$201,A58,'Trade Log'!E$2:E$201,"SHORT"))</f>
        <v/>
      </c>
      <c r="H58" s="21">
        <f>IF(A58="","",F58+G58)</f>
        <v/>
      </c>
      <c r="I58" s="21">
        <f>IF(A58="","",I57+H58)</f>
        <v/>
      </c>
      <c r="J58" s="19" t="n"/>
      <c r="K58" s="19" t="n"/>
    </row>
    <row r="59" ht="15" customHeight="1" s="16">
      <c r="A59" s="19" t="n"/>
      <c r="B59" s="19" t="n"/>
      <c r="C59" s="24" t="n"/>
      <c r="D59" s="18">
        <f>IF(A59="","",COUNTIFS('Trade Log'!B$2:B$201,A59,'Trade Log'!E$2:E$201,"LONG"))</f>
        <v/>
      </c>
      <c r="E59" s="18">
        <f>IF(A59="","",COUNTIFS('Trade Log'!B$2:B$201,A59,'Trade Log'!E$2:E$201,"SHORT"))</f>
        <v/>
      </c>
      <c r="F59" s="21">
        <f>IF(A59="","",SUMIFS('Trade Log'!R$2:R$201,'Trade Log'!B$2:B$201,A59,'Trade Log'!E$2:E$201,"LONG"))</f>
        <v/>
      </c>
      <c r="G59" s="21">
        <f>IF(A59="","",SUMIFS('Trade Log'!R$2:R$201,'Trade Log'!B$2:B$201,A59,'Trade Log'!E$2:E$201,"SHORT"))</f>
        <v/>
      </c>
      <c r="H59" s="21">
        <f>IF(A59="","",F59+G59)</f>
        <v/>
      </c>
      <c r="I59" s="21">
        <f>IF(A59="","",I58+H59)</f>
        <v/>
      </c>
      <c r="J59" s="19" t="n"/>
      <c r="K59" s="19" t="n"/>
    </row>
    <row r="60" ht="15" customHeight="1" s="16">
      <c r="A60" s="19" t="n"/>
      <c r="B60" s="19" t="n"/>
      <c r="C60" s="24" t="n"/>
      <c r="D60" s="18">
        <f>IF(A60="","",COUNTIFS('Trade Log'!B$2:B$201,A60,'Trade Log'!E$2:E$201,"LONG"))</f>
        <v/>
      </c>
      <c r="E60" s="18">
        <f>IF(A60="","",COUNTIFS('Trade Log'!B$2:B$201,A60,'Trade Log'!E$2:E$201,"SHORT"))</f>
        <v/>
      </c>
      <c r="F60" s="21">
        <f>IF(A60="","",SUMIFS('Trade Log'!R$2:R$201,'Trade Log'!B$2:B$201,A60,'Trade Log'!E$2:E$201,"LONG"))</f>
        <v/>
      </c>
      <c r="G60" s="21">
        <f>IF(A60="","",SUMIFS('Trade Log'!R$2:R$201,'Trade Log'!B$2:B$201,A60,'Trade Log'!E$2:E$201,"SHORT"))</f>
        <v/>
      </c>
      <c r="H60" s="21">
        <f>IF(A60="","",F60+G60)</f>
        <v/>
      </c>
      <c r="I60" s="21">
        <f>IF(A60="","",I59+H60)</f>
        <v/>
      </c>
      <c r="J60" s="19" t="n"/>
      <c r="K60" s="19" t="n"/>
    </row>
    <row r="61" ht="15" customHeight="1" s="16">
      <c r="A61" s="19" t="n"/>
      <c r="B61" s="19" t="n"/>
      <c r="C61" s="24" t="n"/>
      <c r="D61" s="18">
        <f>IF(A61="","",COUNTIFS('Trade Log'!B$2:B$201,A61,'Trade Log'!E$2:E$201,"LONG"))</f>
        <v/>
      </c>
      <c r="E61" s="18">
        <f>IF(A61="","",COUNTIFS('Trade Log'!B$2:B$201,A61,'Trade Log'!E$2:E$201,"SHORT"))</f>
        <v/>
      </c>
      <c r="F61" s="21">
        <f>IF(A61="","",SUMIFS('Trade Log'!R$2:R$201,'Trade Log'!B$2:B$201,A61,'Trade Log'!E$2:E$201,"LONG"))</f>
        <v/>
      </c>
      <c r="G61" s="21">
        <f>IF(A61="","",SUMIFS('Trade Log'!R$2:R$201,'Trade Log'!B$2:B$201,A61,'Trade Log'!E$2:E$201,"SHORT"))</f>
        <v/>
      </c>
      <c r="H61" s="21">
        <f>IF(A61="","",F61+G61)</f>
        <v/>
      </c>
      <c r="I61" s="21">
        <f>IF(A61="","",I60+H61)</f>
        <v/>
      </c>
      <c r="J61" s="19" t="n"/>
      <c r="K61" s="19" t="n"/>
    </row>
    <row r="62" ht="15" customHeight="1" s="16">
      <c r="A62" s="19" t="n"/>
      <c r="B62" s="19" t="n"/>
      <c r="C62" s="24" t="n"/>
      <c r="D62" s="18">
        <f>IF(A62="","",COUNTIFS('Trade Log'!B$2:B$201,A62,'Trade Log'!E$2:E$201,"LONG"))</f>
        <v/>
      </c>
      <c r="E62" s="18">
        <f>IF(A62="","",COUNTIFS('Trade Log'!B$2:B$201,A62,'Trade Log'!E$2:E$201,"SHORT"))</f>
        <v/>
      </c>
      <c r="F62" s="21">
        <f>IF(A62="","",SUMIFS('Trade Log'!R$2:R$201,'Trade Log'!B$2:B$201,A62,'Trade Log'!E$2:E$201,"LONG"))</f>
        <v/>
      </c>
      <c r="G62" s="21">
        <f>IF(A62="","",SUMIFS('Trade Log'!R$2:R$201,'Trade Log'!B$2:B$201,A62,'Trade Log'!E$2:E$201,"SHORT"))</f>
        <v/>
      </c>
      <c r="H62" s="21">
        <f>IF(A62="","",F62+G62)</f>
        <v/>
      </c>
      <c r="I62" s="21">
        <f>IF(A62="","",I61+H62)</f>
        <v/>
      </c>
      <c r="J62" s="19" t="n"/>
      <c r="K62" s="19" t="n"/>
    </row>
    <row r="63" ht="15" customHeight="1" s="16">
      <c r="A63" s="19" t="n"/>
      <c r="B63" s="19" t="n"/>
      <c r="C63" s="24" t="n"/>
      <c r="D63" s="18">
        <f>IF(A63="","",COUNTIFS('Trade Log'!B$2:B$201,A63,'Trade Log'!E$2:E$201,"LONG"))</f>
        <v/>
      </c>
      <c r="E63" s="18">
        <f>IF(A63="","",COUNTIFS('Trade Log'!B$2:B$201,A63,'Trade Log'!E$2:E$201,"SHORT"))</f>
        <v/>
      </c>
      <c r="F63" s="21">
        <f>IF(A63="","",SUMIFS('Trade Log'!R$2:R$201,'Trade Log'!B$2:B$201,A63,'Trade Log'!E$2:E$201,"LONG"))</f>
        <v/>
      </c>
      <c r="G63" s="21">
        <f>IF(A63="","",SUMIFS('Trade Log'!R$2:R$201,'Trade Log'!B$2:B$201,A63,'Trade Log'!E$2:E$201,"SHORT"))</f>
        <v/>
      </c>
      <c r="H63" s="21">
        <f>IF(A63="","",F63+G63)</f>
        <v/>
      </c>
      <c r="I63" s="21">
        <f>IF(A63="","",I62+H63)</f>
        <v/>
      </c>
      <c r="J63" s="19" t="n"/>
      <c r="K63" s="19" t="n"/>
    </row>
    <row r="64" ht="15" customHeight="1" s="16">
      <c r="A64" s="19" t="n"/>
      <c r="B64" s="19" t="n"/>
      <c r="C64" s="24" t="n"/>
      <c r="D64" s="18">
        <f>IF(A64="","",COUNTIFS('Trade Log'!B$2:B$201,A64,'Trade Log'!E$2:E$201,"LONG"))</f>
        <v/>
      </c>
      <c r="E64" s="18">
        <f>IF(A64="","",COUNTIFS('Trade Log'!B$2:B$201,A64,'Trade Log'!E$2:E$201,"SHORT"))</f>
        <v/>
      </c>
      <c r="F64" s="21">
        <f>IF(A64="","",SUMIFS('Trade Log'!R$2:R$201,'Trade Log'!B$2:B$201,A64,'Trade Log'!E$2:E$201,"LONG"))</f>
        <v/>
      </c>
      <c r="G64" s="21">
        <f>IF(A64="","",SUMIFS('Trade Log'!R$2:R$201,'Trade Log'!B$2:B$201,A64,'Trade Log'!E$2:E$201,"SHORT"))</f>
        <v/>
      </c>
      <c r="H64" s="21">
        <f>IF(A64="","",F64+G64)</f>
        <v/>
      </c>
      <c r="I64" s="21">
        <f>IF(A64="","",I63+H64)</f>
        <v/>
      </c>
      <c r="J64" s="19" t="n"/>
      <c r="K64" s="19" t="n"/>
    </row>
    <row r="65" ht="15" customHeight="1" s="16">
      <c r="A65" s="19" t="n"/>
      <c r="B65" s="19" t="n"/>
      <c r="C65" s="24" t="n"/>
      <c r="D65" s="18">
        <f>IF(A65="","",COUNTIFS('Trade Log'!B$2:B$201,A65,'Trade Log'!E$2:E$201,"LONG"))</f>
        <v/>
      </c>
      <c r="E65" s="18">
        <f>IF(A65="","",COUNTIFS('Trade Log'!B$2:B$201,A65,'Trade Log'!E$2:E$201,"SHORT"))</f>
        <v/>
      </c>
      <c r="F65" s="21">
        <f>IF(A65="","",SUMIFS('Trade Log'!R$2:R$201,'Trade Log'!B$2:B$201,A65,'Trade Log'!E$2:E$201,"LONG"))</f>
        <v/>
      </c>
      <c r="G65" s="21">
        <f>IF(A65="","",SUMIFS('Trade Log'!R$2:R$201,'Trade Log'!B$2:B$201,A65,'Trade Log'!E$2:E$201,"SHORT"))</f>
        <v/>
      </c>
      <c r="H65" s="21">
        <f>IF(A65="","",F65+G65)</f>
        <v/>
      </c>
      <c r="I65" s="21">
        <f>IF(A65="","",I64+H65)</f>
        <v/>
      </c>
      <c r="J65" s="19" t="n"/>
      <c r="K65" s="19" t="n"/>
    </row>
    <row r="66" ht="15" customHeight="1" s="16">
      <c r="A66" s="19" t="n"/>
      <c r="B66" s="19" t="n"/>
      <c r="C66" s="24" t="n"/>
      <c r="D66" s="18">
        <f>IF(A66="","",COUNTIFS('Trade Log'!B$2:B$201,A66,'Trade Log'!E$2:E$201,"LONG"))</f>
        <v/>
      </c>
      <c r="E66" s="18">
        <f>IF(A66="","",COUNTIFS('Trade Log'!B$2:B$201,A66,'Trade Log'!E$2:E$201,"SHORT"))</f>
        <v/>
      </c>
      <c r="F66" s="21">
        <f>IF(A66="","",SUMIFS('Trade Log'!R$2:R$201,'Trade Log'!B$2:B$201,A66,'Trade Log'!E$2:E$201,"LONG"))</f>
        <v/>
      </c>
      <c r="G66" s="21">
        <f>IF(A66="","",SUMIFS('Trade Log'!R$2:R$201,'Trade Log'!B$2:B$201,A66,'Trade Log'!E$2:E$201,"SHORT"))</f>
        <v/>
      </c>
      <c r="H66" s="21">
        <f>IF(A66="","",F66+G66)</f>
        <v/>
      </c>
      <c r="I66" s="21">
        <f>IF(A66="","",I65+H66)</f>
        <v/>
      </c>
      <c r="J66" s="19" t="n"/>
      <c r="K66" s="19" t="n"/>
    </row>
    <row r="67" ht="15" customHeight="1" s="16">
      <c r="A67" s="19" t="n"/>
      <c r="B67" s="19" t="n"/>
      <c r="C67" s="24" t="n"/>
      <c r="D67" s="18">
        <f>IF(A67="","",COUNTIFS('Trade Log'!B$2:B$201,A67,'Trade Log'!E$2:E$201,"LONG"))</f>
        <v/>
      </c>
      <c r="E67" s="18">
        <f>IF(A67="","",COUNTIFS('Trade Log'!B$2:B$201,A67,'Trade Log'!E$2:E$201,"SHORT"))</f>
        <v/>
      </c>
      <c r="F67" s="21">
        <f>IF(A67="","",SUMIFS('Trade Log'!R$2:R$201,'Trade Log'!B$2:B$201,A67,'Trade Log'!E$2:E$201,"LONG"))</f>
        <v/>
      </c>
      <c r="G67" s="21">
        <f>IF(A67="","",SUMIFS('Trade Log'!R$2:R$201,'Trade Log'!B$2:B$201,A67,'Trade Log'!E$2:E$201,"SHORT"))</f>
        <v/>
      </c>
      <c r="H67" s="21">
        <f>IF(A67="","",F67+G67)</f>
        <v/>
      </c>
      <c r="I67" s="21">
        <f>IF(A67="","",I66+H67)</f>
        <v/>
      </c>
      <c r="J67" s="19" t="n"/>
      <c r="K67" s="19" t="n"/>
    </row>
    <row r="68" ht="15" customHeight="1" s="16">
      <c r="A68" s="19" t="n"/>
      <c r="B68" s="19" t="n"/>
      <c r="C68" s="24" t="n"/>
      <c r="D68" s="18">
        <f>IF(A68="","",COUNTIFS('Trade Log'!B$2:B$201,A68,'Trade Log'!E$2:E$201,"LONG"))</f>
        <v/>
      </c>
      <c r="E68" s="18">
        <f>IF(A68="","",COUNTIFS('Trade Log'!B$2:B$201,A68,'Trade Log'!E$2:E$201,"SHORT"))</f>
        <v/>
      </c>
      <c r="F68" s="21">
        <f>IF(A68="","",SUMIFS('Trade Log'!R$2:R$201,'Trade Log'!B$2:B$201,A68,'Trade Log'!E$2:E$201,"LONG"))</f>
        <v/>
      </c>
      <c r="G68" s="21">
        <f>IF(A68="","",SUMIFS('Trade Log'!R$2:R$201,'Trade Log'!B$2:B$201,A68,'Trade Log'!E$2:E$201,"SHORT"))</f>
        <v/>
      </c>
      <c r="H68" s="21">
        <f>IF(A68="","",F68+G68)</f>
        <v/>
      </c>
      <c r="I68" s="21">
        <f>IF(A68="","",I67+H68)</f>
        <v/>
      </c>
      <c r="J68" s="19" t="n"/>
      <c r="K68" s="19" t="n"/>
    </row>
    <row r="69" ht="15" customHeight="1" s="16">
      <c r="A69" s="19" t="n"/>
      <c r="B69" s="19" t="n"/>
      <c r="C69" s="24" t="n"/>
      <c r="D69" s="18">
        <f>IF(A69="","",COUNTIFS('Trade Log'!B$2:B$201,A69,'Trade Log'!E$2:E$201,"LONG"))</f>
        <v/>
      </c>
      <c r="E69" s="18">
        <f>IF(A69="","",COUNTIFS('Trade Log'!B$2:B$201,A69,'Trade Log'!E$2:E$201,"SHORT"))</f>
        <v/>
      </c>
      <c r="F69" s="21">
        <f>IF(A69="","",SUMIFS('Trade Log'!R$2:R$201,'Trade Log'!B$2:B$201,A69,'Trade Log'!E$2:E$201,"LONG"))</f>
        <v/>
      </c>
      <c r="G69" s="21">
        <f>IF(A69="","",SUMIFS('Trade Log'!R$2:R$201,'Trade Log'!B$2:B$201,A69,'Trade Log'!E$2:E$201,"SHORT"))</f>
        <v/>
      </c>
      <c r="H69" s="21">
        <f>IF(A69="","",F69+G69)</f>
        <v/>
      </c>
      <c r="I69" s="21">
        <f>IF(A69="","",I68+H69)</f>
        <v/>
      </c>
      <c r="J69" s="19" t="n"/>
      <c r="K69" s="19" t="n"/>
    </row>
    <row r="70" ht="15" customHeight="1" s="16">
      <c r="A70" s="19" t="n"/>
      <c r="B70" s="19" t="n"/>
      <c r="C70" s="24" t="n"/>
      <c r="D70" s="18">
        <f>IF(A70="","",COUNTIFS('Trade Log'!B$2:B$201,A70,'Trade Log'!E$2:E$201,"LONG"))</f>
        <v/>
      </c>
      <c r="E70" s="18">
        <f>IF(A70="","",COUNTIFS('Trade Log'!B$2:B$201,A70,'Trade Log'!E$2:E$201,"SHORT"))</f>
        <v/>
      </c>
      <c r="F70" s="21">
        <f>IF(A70="","",SUMIFS('Trade Log'!R$2:R$201,'Trade Log'!B$2:B$201,A70,'Trade Log'!E$2:E$201,"LONG"))</f>
        <v/>
      </c>
      <c r="G70" s="21">
        <f>IF(A70="","",SUMIFS('Trade Log'!R$2:R$201,'Trade Log'!B$2:B$201,A70,'Trade Log'!E$2:E$201,"SHORT"))</f>
        <v/>
      </c>
      <c r="H70" s="21">
        <f>IF(A70="","",F70+G70)</f>
        <v/>
      </c>
      <c r="I70" s="21">
        <f>IF(A70="","",I69+H70)</f>
        <v/>
      </c>
      <c r="J70" s="19" t="n"/>
      <c r="K70" s="19" t="n"/>
    </row>
    <row r="71" ht="15" customHeight="1" s="16">
      <c r="A71" s="19" t="n"/>
      <c r="B71" s="19" t="n"/>
      <c r="C71" s="24" t="n"/>
      <c r="D71" s="18">
        <f>IF(A71="","",COUNTIFS('Trade Log'!B$2:B$201,A71,'Trade Log'!E$2:E$201,"LONG"))</f>
        <v/>
      </c>
      <c r="E71" s="18">
        <f>IF(A71="","",COUNTIFS('Trade Log'!B$2:B$201,A71,'Trade Log'!E$2:E$201,"SHORT"))</f>
        <v/>
      </c>
      <c r="F71" s="21">
        <f>IF(A71="","",SUMIFS('Trade Log'!R$2:R$201,'Trade Log'!B$2:B$201,A71,'Trade Log'!E$2:E$201,"LONG"))</f>
        <v/>
      </c>
      <c r="G71" s="21">
        <f>IF(A71="","",SUMIFS('Trade Log'!R$2:R$201,'Trade Log'!B$2:B$201,A71,'Trade Log'!E$2:E$201,"SHORT"))</f>
        <v/>
      </c>
      <c r="H71" s="21">
        <f>IF(A71="","",F71+G71)</f>
        <v/>
      </c>
      <c r="I71" s="21">
        <f>IF(A71="","",I70+H71)</f>
        <v/>
      </c>
      <c r="J71" s="19" t="n"/>
      <c r="K71" s="19" t="n"/>
    </row>
    <row r="72" ht="15" customHeight="1" s="16">
      <c r="A72" s="19" t="n"/>
      <c r="B72" s="19" t="n"/>
      <c r="C72" s="24" t="n"/>
      <c r="D72" s="18">
        <f>IF(A72="","",COUNTIFS('Trade Log'!B$2:B$201,A72,'Trade Log'!E$2:E$201,"LONG"))</f>
        <v/>
      </c>
      <c r="E72" s="18">
        <f>IF(A72="","",COUNTIFS('Trade Log'!B$2:B$201,A72,'Trade Log'!E$2:E$201,"SHORT"))</f>
        <v/>
      </c>
      <c r="F72" s="21">
        <f>IF(A72="","",SUMIFS('Trade Log'!R$2:R$201,'Trade Log'!B$2:B$201,A72,'Trade Log'!E$2:E$201,"LONG"))</f>
        <v/>
      </c>
      <c r="G72" s="21">
        <f>IF(A72="","",SUMIFS('Trade Log'!R$2:R$201,'Trade Log'!B$2:B$201,A72,'Trade Log'!E$2:E$201,"SHORT"))</f>
        <v/>
      </c>
      <c r="H72" s="21">
        <f>IF(A72="","",F72+G72)</f>
        <v/>
      </c>
      <c r="I72" s="21">
        <f>IF(A72="","",I71+H72)</f>
        <v/>
      </c>
      <c r="J72" s="19" t="n"/>
      <c r="K72" s="19" t="n"/>
    </row>
    <row r="73" ht="15" customHeight="1" s="16">
      <c r="A73" s="19" t="n"/>
      <c r="B73" s="19" t="n"/>
      <c r="C73" s="24" t="n"/>
      <c r="D73" s="18">
        <f>IF(A73="","",COUNTIFS('Trade Log'!B$2:B$201,A73,'Trade Log'!E$2:E$201,"LONG"))</f>
        <v/>
      </c>
      <c r="E73" s="18">
        <f>IF(A73="","",COUNTIFS('Trade Log'!B$2:B$201,A73,'Trade Log'!E$2:E$201,"SHORT"))</f>
        <v/>
      </c>
      <c r="F73" s="21">
        <f>IF(A73="","",SUMIFS('Trade Log'!R$2:R$201,'Trade Log'!B$2:B$201,A73,'Trade Log'!E$2:E$201,"LONG"))</f>
        <v/>
      </c>
      <c r="G73" s="21">
        <f>IF(A73="","",SUMIFS('Trade Log'!R$2:R$201,'Trade Log'!B$2:B$201,A73,'Trade Log'!E$2:E$201,"SHORT"))</f>
        <v/>
      </c>
      <c r="H73" s="21">
        <f>IF(A73="","",F73+G73)</f>
        <v/>
      </c>
      <c r="I73" s="21">
        <f>IF(A73="","",I72+H73)</f>
        <v/>
      </c>
      <c r="J73" s="19" t="n"/>
      <c r="K73" s="19" t="n"/>
    </row>
    <row r="74" ht="15" customHeight="1" s="16">
      <c r="A74" s="19" t="n"/>
      <c r="B74" s="19" t="n"/>
      <c r="C74" s="24" t="n"/>
      <c r="D74" s="18">
        <f>IF(A74="","",COUNTIFS('Trade Log'!B$2:B$201,A74,'Trade Log'!E$2:E$201,"LONG"))</f>
        <v/>
      </c>
      <c r="E74" s="18">
        <f>IF(A74="","",COUNTIFS('Trade Log'!B$2:B$201,A74,'Trade Log'!E$2:E$201,"SHORT"))</f>
        <v/>
      </c>
      <c r="F74" s="21">
        <f>IF(A74="","",SUMIFS('Trade Log'!R$2:R$201,'Trade Log'!B$2:B$201,A74,'Trade Log'!E$2:E$201,"LONG"))</f>
        <v/>
      </c>
      <c r="G74" s="21">
        <f>IF(A74="","",SUMIFS('Trade Log'!R$2:R$201,'Trade Log'!B$2:B$201,A74,'Trade Log'!E$2:E$201,"SHORT"))</f>
        <v/>
      </c>
      <c r="H74" s="21">
        <f>IF(A74="","",F74+G74)</f>
        <v/>
      </c>
      <c r="I74" s="21">
        <f>IF(A74="","",I73+H74)</f>
        <v/>
      </c>
      <c r="J74" s="19" t="n"/>
      <c r="K74" s="19" t="n"/>
    </row>
    <row r="75" ht="15" customHeight="1" s="16">
      <c r="A75" s="19" t="n"/>
      <c r="B75" s="19" t="n"/>
      <c r="C75" s="24" t="n"/>
      <c r="D75" s="18">
        <f>IF(A75="","",COUNTIFS('Trade Log'!B$2:B$201,A75,'Trade Log'!E$2:E$201,"LONG"))</f>
        <v/>
      </c>
      <c r="E75" s="18">
        <f>IF(A75="","",COUNTIFS('Trade Log'!B$2:B$201,A75,'Trade Log'!E$2:E$201,"SHORT"))</f>
        <v/>
      </c>
      <c r="F75" s="21">
        <f>IF(A75="","",SUMIFS('Trade Log'!R$2:R$201,'Trade Log'!B$2:B$201,A75,'Trade Log'!E$2:E$201,"LONG"))</f>
        <v/>
      </c>
      <c r="G75" s="21">
        <f>IF(A75="","",SUMIFS('Trade Log'!R$2:R$201,'Trade Log'!B$2:B$201,A75,'Trade Log'!E$2:E$201,"SHORT"))</f>
        <v/>
      </c>
      <c r="H75" s="21">
        <f>IF(A75="","",F75+G75)</f>
        <v/>
      </c>
      <c r="I75" s="21">
        <f>IF(A75="","",I74+H75)</f>
        <v/>
      </c>
      <c r="J75" s="19" t="n"/>
      <c r="K75" s="19" t="n"/>
    </row>
    <row r="76" ht="15" customHeight="1" s="16">
      <c r="A76" s="19" t="n"/>
      <c r="B76" s="19" t="n"/>
      <c r="C76" s="24" t="n"/>
      <c r="D76" s="18">
        <f>IF(A76="","",COUNTIFS('Trade Log'!B$2:B$201,A76,'Trade Log'!E$2:E$201,"LONG"))</f>
        <v/>
      </c>
      <c r="E76" s="18">
        <f>IF(A76="","",COUNTIFS('Trade Log'!B$2:B$201,A76,'Trade Log'!E$2:E$201,"SHORT"))</f>
        <v/>
      </c>
      <c r="F76" s="21">
        <f>IF(A76="","",SUMIFS('Trade Log'!R$2:R$201,'Trade Log'!B$2:B$201,A76,'Trade Log'!E$2:E$201,"LONG"))</f>
        <v/>
      </c>
      <c r="G76" s="21">
        <f>IF(A76="","",SUMIFS('Trade Log'!R$2:R$201,'Trade Log'!B$2:B$201,A76,'Trade Log'!E$2:E$201,"SHORT"))</f>
        <v/>
      </c>
      <c r="H76" s="21">
        <f>IF(A76="","",F76+G76)</f>
        <v/>
      </c>
      <c r="I76" s="21">
        <f>IF(A76="","",I75+H76)</f>
        <v/>
      </c>
      <c r="J76" s="19" t="n"/>
      <c r="K76" s="19" t="n"/>
    </row>
    <row r="77" ht="15" customHeight="1" s="16">
      <c r="A77" s="19" t="n"/>
      <c r="B77" s="19" t="n"/>
      <c r="C77" s="24" t="n"/>
      <c r="D77" s="18">
        <f>IF(A77="","",COUNTIFS('Trade Log'!B$2:B$201,A77,'Trade Log'!E$2:E$201,"LONG"))</f>
        <v/>
      </c>
      <c r="E77" s="18">
        <f>IF(A77="","",COUNTIFS('Trade Log'!B$2:B$201,A77,'Trade Log'!E$2:E$201,"SHORT"))</f>
        <v/>
      </c>
      <c r="F77" s="21">
        <f>IF(A77="","",SUMIFS('Trade Log'!R$2:R$201,'Trade Log'!B$2:B$201,A77,'Trade Log'!E$2:E$201,"LONG"))</f>
        <v/>
      </c>
      <c r="G77" s="21">
        <f>IF(A77="","",SUMIFS('Trade Log'!R$2:R$201,'Trade Log'!B$2:B$201,A77,'Trade Log'!E$2:E$201,"SHORT"))</f>
        <v/>
      </c>
      <c r="H77" s="21">
        <f>IF(A77="","",F77+G77)</f>
        <v/>
      </c>
      <c r="I77" s="21">
        <f>IF(A77="","",I76+H77)</f>
        <v/>
      </c>
      <c r="J77" s="19" t="n"/>
      <c r="K77" s="19" t="n"/>
    </row>
    <row r="78" ht="15" customHeight="1" s="16">
      <c r="A78" s="19" t="n"/>
      <c r="B78" s="19" t="n"/>
      <c r="C78" s="24" t="n"/>
      <c r="D78" s="18">
        <f>IF(A78="","",COUNTIFS('Trade Log'!B$2:B$201,A78,'Trade Log'!E$2:E$201,"LONG"))</f>
        <v/>
      </c>
      <c r="E78" s="18">
        <f>IF(A78="","",COUNTIFS('Trade Log'!B$2:B$201,A78,'Trade Log'!E$2:E$201,"SHORT"))</f>
        <v/>
      </c>
      <c r="F78" s="21">
        <f>IF(A78="","",SUMIFS('Trade Log'!R$2:R$201,'Trade Log'!B$2:B$201,A78,'Trade Log'!E$2:E$201,"LONG"))</f>
        <v/>
      </c>
      <c r="G78" s="21">
        <f>IF(A78="","",SUMIFS('Trade Log'!R$2:R$201,'Trade Log'!B$2:B$201,A78,'Trade Log'!E$2:E$201,"SHORT"))</f>
        <v/>
      </c>
      <c r="H78" s="21">
        <f>IF(A78="","",F78+G78)</f>
        <v/>
      </c>
      <c r="I78" s="21">
        <f>IF(A78="","",I77+H78)</f>
        <v/>
      </c>
      <c r="J78" s="19" t="n"/>
      <c r="K78" s="19" t="n"/>
    </row>
    <row r="79" ht="15" customHeight="1" s="16">
      <c r="A79" s="19" t="n"/>
      <c r="B79" s="19" t="n"/>
      <c r="C79" s="24" t="n"/>
      <c r="D79" s="18">
        <f>IF(A79="","",COUNTIFS('Trade Log'!B$2:B$201,A79,'Trade Log'!E$2:E$201,"LONG"))</f>
        <v/>
      </c>
      <c r="E79" s="18">
        <f>IF(A79="","",COUNTIFS('Trade Log'!B$2:B$201,A79,'Trade Log'!E$2:E$201,"SHORT"))</f>
        <v/>
      </c>
      <c r="F79" s="21">
        <f>IF(A79="","",SUMIFS('Trade Log'!R$2:R$201,'Trade Log'!B$2:B$201,A79,'Trade Log'!E$2:E$201,"LONG"))</f>
        <v/>
      </c>
      <c r="G79" s="21">
        <f>IF(A79="","",SUMIFS('Trade Log'!R$2:R$201,'Trade Log'!B$2:B$201,A79,'Trade Log'!E$2:E$201,"SHORT"))</f>
        <v/>
      </c>
      <c r="H79" s="21">
        <f>IF(A79="","",F79+G79)</f>
        <v/>
      </c>
      <c r="I79" s="21">
        <f>IF(A79="","",I78+H79)</f>
        <v/>
      </c>
      <c r="J79" s="19" t="n"/>
      <c r="K79" s="19" t="n"/>
    </row>
    <row r="80" ht="15" customHeight="1" s="16">
      <c r="A80" s="19" t="n"/>
      <c r="B80" s="19" t="n"/>
      <c r="C80" s="24" t="n"/>
      <c r="D80" s="18">
        <f>IF(A80="","",COUNTIFS('Trade Log'!B$2:B$201,A80,'Trade Log'!E$2:E$201,"LONG"))</f>
        <v/>
      </c>
      <c r="E80" s="18">
        <f>IF(A80="","",COUNTIFS('Trade Log'!B$2:B$201,A80,'Trade Log'!E$2:E$201,"SHORT"))</f>
        <v/>
      </c>
      <c r="F80" s="21">
        <f>IF(A80="","",SUMIFS('Trade Log'!R$2:R$201,'Trade Log'!B$2:B$201,A80,'Trade Log'!E$2:E$201,"LONG"))</f>
        <v/>
      </c>
      <c r="G80" s="21">
        <f>IF(A80="","",SUMIFS('Trade Log'!R$2:R$201,'Trade Log'!B$2:B$201,A80,'Trade Log'!E$2:E$201,"SHORT"))</f>
        <v/>
      </c>
      <c r="H80" s="21">
        <f>IF(A80="","",F80+G80)</f>
        <v/>
      </c>
      <c r="I80" s="21">
        <f>IF(A80="","",I79+H80)</f>
        <v/>
      </c>
      <c r="J80" s="19" t="n"/>
      <c r="K80" s="19" t="n"/>
    </row>
    <row r="81" ht="15" customHeight="1" s="16">
      <c r="A81" s="19" t="n"/>
      <c r="B81" s="19" t="n"/>
      <c r="C81" s="24" t="n"/>
      <c r="D81" s="18">
        <f>IF(A81="","",COUNTIFS('Trade Log'!B$2:B$201,A81,'Trade Log'!E$2:E$201,"LONG"))</f>
        <v/>
      </c>
      <c r="E81" s="18">
        <f>IF(A81="","",COUNTIFS('Trade Log'!B$2:B$201,A81,'Trade Log'!E$2:E$201,"SHORT"))</f>
        <v/>
      </c>
      <c r="F81" s="21">
        <f>IF(A81="","",SUMIFS('Trade Log'!R$2:R$201,'Trade Log'!B$2:B$201,A81,'Trade Log'!E$2:E$201,"LONG"))</f>
        <v/>
      </c>
      <c r="G81" s="21">
        <f>IF(A81="","",SUMIFS('Trade Log'!R$2:R$201,'Trade Log'!B$2:B$201,A81,'Trade Log'!E$2:E$201,"SHORT"))</f>
        <v/>
      </c>
      <c r="H81" s="21">
        <f>IF(A81="","",F81+G81)</f>
        <v/>
      </c>
      <c r="I81" s="21">
        <f>IF(A81="","",I80+H81)</f>
        <v/>
      </c>
      <c r="J81" s="19" t="n"/>
      <c r="K81" s="19" t="n"/>
    </row>
    <row r="82" ht="15" customHeight="1" s="16">
      <c r="A82" s="19" t="n"/>
      <c r="B82" s="19" t="n"/>
      <c r="C82" s="24" t="n"/>
      <c r="D82" s="18">
        <f>IF(A82="","",COUNTIFS('Trade Log'!B$2:B$201,A82,'Trade Log'!E$2:E$201,"LONG"))</f>
        <v/>
      </c>
      <c r="E82" s="18">
        <f>IF(A82="","",COUNTIFS('Trade Log'!B$2:B$201,A82,'Trade Log'!E$2:E$201,"SHORT"))</f>
        <v/>
      </c>
      <c r="F82" s="21">
        <f>IF(A82="","",SUMIFS('Trade Log'!R$2:R$201,'Trade Log'!B$2:B$201,A82,'Trade Log'!E$2:E$201,"LONG"))</f>
        <v/>
      </c>
      <c r="G82" s="21">
        <f>IF(A82="","",SUMIFS('Trade Log'!R$2:R$201,'Trade Log'!B$2:B$201,A82,'Trade Log'!E$2:E$201,"SHORT"))</f>
        <v/>
      </c>
      <c r="H82" s="21">
        <f>IF(A82="","",F82+G82)</f>
        <v/>
      </c>
      <c r="I82" s="21">
        <f>IF(A82="","",I81+H82)</f>
        <v/>
      </c>
      <c r="J82" s="19" t="n"/>
      <c r="K82" s="19" t="n"/>
    </row>
    <row r="83" ht="15" customHeight="1" s="16">
      <c r="A83" s="19" t="n"/>
      <c r="B83" s="19" t="n"/>
      <c r="C83" s="24" t="n"/>
      <c r="D83" s="18">
        <f>IF(A83="","",COUNTIFS('Trade Log'!B$2:B$201,A83,'Trade Log'!E$2:E$201,"LONG"))</f>
        <v/>
      </c>
      <c r="E83" s="18">
        <f>IF(A83="","",COUNTIFS('Trade Log'!B$2:B$201,A83,'Trade Log'!E$2:E$201,"SHORT"))</f>
        <v/>
      </c>
      <c r="F83" s="21">
        <f>IF(A83="","",SUMIFS('Trade Log'!R$2:R$201,'Trade Log'!B$2:B$201,A83,'Trade Log'!E$2:E$201,"LONG"))</f>
        <v/>
      </c>
      <c r="G83" s="21">
        <f>IF(A83="","",SUMIFS('Trade Log'!R$2:R$201,'Trade Log'!B$2:B$201,A83,'Trade Log'!E$2:E$201,"SHORT"))</f>
        <v/>
      </c>
      <c r="H83" s="21">
        <f>IF(A83="","",F83+G83)</f>
        <v/>
      </c>
      <c r="I83" s="21">
        <f>IF(A83="","",I82+H83)</f>
        <v/>
      </c>
      <c r="J83" s="19" t="n"/>
      <c r="K83" s="19" t="n"/>
    </row>
    <row r="84" ht="15" customHeight="1" s="16">
      <c r="A84" s="19" t="n"/>
      <c r="B84" s="19" t="n"/>
      <c r="C84" s="24" t="n"/>
      <c r="D84" s="18">
        <f>IF(A84="","",COUNTIFS('Trade Log'!B$2:B$201,A84,'Trade Log'!E$2:E$201,"LONG"))</f>
        <v/>
      </c>
      <c r="E84" s="18">
        <f>IF(A84="","",COUNTIFS('Trade Log'!B$2:B$201,A84,'Trade Log'!E$2:E$201,"SHORT"))</f>
        <v/>
      </c>
      <c r="F84" s="21">
        <f>IF(A84="","",SUMIFS('Trade Log'!R$2:R$201,'Trade Log'!B$2:B$201,A84,'Trade Log'!E$2:E$201,"LONG"))</f>
        <v/>
      </c>
      <c r="G84" s="21">
        <f>IF(A84="","",SUMIFS('Trade Log'!R$2:R$201,'Trade Log'!B$2:B$201,A84,'Trade Log'!E$2:E$201,"SHORT"))</f>
        <v/>
      </c>
      <c r="H84" s="21">
        <f>IF(A84="","",F84+G84)</f>
        <v/>
      </c>
      <c r="I84" s="21">
        <f>IF(A84="","",I83+H84)</f>
        <v/>
      </c>
      <c r="J84" s="19" t="n"/>
      <c r="K84" s="19" t="n"/>
    </row>
    <row r="85" ht="15" customHeight="1" s="16">
      <c r="A85" s="19" t="n"/>
      <c r="B85" s="19" t="n"/>
      <c r="C85" s="24" t="n"/>
      <c r="D85" s="18">
        <f>IF(A85="","",COUNTIFS('Trade Log'!B$2:B$201,A85,'Trade Log'!E$2:E$201,"LONG"))</f>
        <v/>
      </c>
      <c r="E85" s="18">
        <f>IF(A85="","",COUNTIFS('Trade Log'!B$2:B$201,A85,'Trade Log'!E$2:E$201,"SHORT"))</f>
        <v/>
      </c>
      <c r="F85" s="21">
        <f>IF(A85="","",SUMIFS('Trade Log'!R$2:R$201,'Trade Log'!B$2:B$201,A85,'Trade Log'!E$2:E$201,"LONG"))</f>
        <v/>
      </c>
      <c r="G85" s="21">
        <f>IF(A85="","",SUMIFS('Trade Log'!R$2:R$201,'Trade Log'!B$2:B$201,A85,'Trade Log'!E$2:E$201,"SHORT"))</f>
        <v/>
      </c>
      <c r="H85" s="21">
        <f>IF(A85="","",F85+G85)</f>
        <v/>
      </c>
      <c r="I85" s="21">
        <f>IF(A85="","",I84+H85)</f>
        <v/>
      </c>
      <c r="J85" s="19" t="n"/>
      <c r="K85" s="19" t="n"/>
    </row>
    <row r="86" ht="15" customHeight="1" s="16">
      <c r="A86" s="19" t="n"/>
      <c r="B86" s="19" t="n"/>
      <c r="C86" s="24" t="n"/>
      <c r="D86" s="18">
        <f>IF(A86="","",COUNTIFS('Trade Log'!B$2:B$201,A86,'Trade Log'!E$2:E$201,"LONG"))</f>
        <v/>
      </c>
      <c r="E86" s="18">
        <f>IF(A86="","",COUNTIFS('Trade Log'!B$2:B$201,A86,'Trade Log'!E$2:E$201,"SHORT"))</f>
        <v/>
      </c>
      <c r="F86" s="21">
        <f>IF(A86="","",SUMIFS('Trade Log'!R$2:R$201,'Trade Log'!B$2:B$201,A86,'Trade Log'!E$2:E$201,"LONG"))</f>
        <v/>
      </c>
      <c r="G86" s="21">
        <f>IF(A86="","",SUMIFS('Trade Log'!R$2:R$201,'Trade Log'!B$2:B$201,A86,'Trade Log'!E$2:E$201,"SHORT"))</f>
        <v/>
      </c>
      <c r="H86" s="21">
        <f>IF(A86="","",F86+G86)</f>
        <v/>
      </c>
      <c r="I86" s="21">
        <f>IF(A86="","",I85+H86)</f>
        <v/>
      </c>
      <c r="J86" s="19" t="n"/>
      <c r="K86" s="19" t="n"/>
    </row>
    <row r="87" ht="15" customHeight="1" s="16">
      <c r="A87" s="19" t="n"/>
      <c r="B87" s="19" t="n"/>
      <c r="C87" s="24" t="n"/>
      <c r="D87" s="18">
        <f>IF(A87="","",COUNTIFS('Trade Log'!B$2:B$201,A87,'Trade Log'!E$2:E$201,"LONG"))</f>
        <v/>
      </c>
      <c r="E87" s="18">
        <f>IF(A87="","",COUNTIFS('Trade Log'!B$2:B$201,A87,'Trade Log'!E$2:E$201,"SHORT"))</f>
        <v/>
      </c>
      <c r="F87" s="21">
        <f>IF(A87="","",SUMIFS('Trade Log'!R$2:R$201,'Trade Log'!B$2:B$201,A87,'Trade Log'!E$2:E$201,"LONG"))</f>
        <v/>
      </c>
      <c r="G87" s="21">
        <f>IF(A87="","",SUMIFS('Trade Log'!R$2:R$201,'Trade Log'!B$2:B$201,A87,'Trade Log'!E$2:E$201,"SHORT"))</f>
        <v/>
      </c>
      <c r="H87" s="21">
        <f>IF(A87="","",F87+G87)</f>
        <v/>
      </c>
      <c r="I87" s="21">
        <f>IF(A87="","",I86+H87)</f>
        <v/>
      </c>
      <c r="J87" s="19" t="n"/>
      <c r="K87" s="19" t="n"/>
    </row>
    <row r="88" ht="15" customHeight="1" s="16">
      <c r="A88" s="19" t="n"/>
      <c r="B88" s="19" t="n"/>
      <c r="C88" s="24" t="n"/>
      <c r="D88" s="18">
        <f>IF(A88="","",COUNTIFS('Trade Log'!B$2:B$201,A88,'Trade Log'!E$2:E$201,"LONG"))</f>
        <v/>
      </c>
      <c r="E88" s="18">
        <f>IF(A88="","",COUNTIFS('Trade Log'!B$2:B$201,A88,'Trade Log'!E$2:E$201,"SHORT"))</f>
        <v/>
      </c>
      <c r="F88" s="21">
        <f>IF(A88="","",SUMIFS('Trade Log'!R$2:R$201,'Trade Log'!B$2:B$201,A88,'Trade Log'!E$2:E$201,"LONG"))</f>
        <v/>
      </c>
      <c r="G88" s="21">
        <f>IF(A88="","",SUMIFS('Trade Log'!R$2:R$201,'Trade Log'!B$2:B$201,A88,'Trade Log'!E$2:E$201,"SHORT"))</f>
        <v/>
      </c>
      <c r="H88" s="21">
        <f>IF(A88="","",F88+G88)</f>
        <v/>
      </c>
      <c r="I88" s="21">
        <f>IF(A88="","",I87+H88)</f>
        <v/>
      </c>
      <c r="J88" s="19" t="n"/>
      <c r="K88" s="19" t="n"/>
    </row>
    <row r="89" ht="15" customHeight="1" s="16">
      <c r="A89" s="19" t="n"/>
      <c r="B89" s="19" t="n"/>
      <c r="C89" s="24" t="n"/>
      <c r="D89" s="18">
        <f>IF(A89="","",COUNTIFS('Trade Log'!B$2:B$201,A89,'Trade Log'!E$2:E$201,"LONG"))</f>
        <v/>
      </c>
      <c r="E89" s="18">
        <f>IF(A89="","",COUNTIFS('Trade Log'!B$2:B$201,A89,'Trade Log'!E$2:E$201,"SHORT"))</f>
        <v/>
      </c>
      <c r="F89" s="21">
        <f>IF(A89="","",SUMIFS('Trade Log'!R$2:R$201,'Trade Log'!B$2:B$201,A89,'Trade Log'!E$2:E$201,"LONG"))</f>
        <v/>
      </c>
      <c r="G89" s="21">
        <f>IF(A89="","",SUMIFS('Trade Log'!R$2:R$201,'Trade Log'!B$2:B$201,A89,'Trade Log'!E$2:E$201,"SHORT"))</f>
        <v/>
      </c>
      <c r="H89" s="21">
        <f>IF(A89="","",F89+G89)</f>
        <v/>
      </c>
      <c r="I89" s="21">
        <f>IF(A89="","",I88+H89)</f>
        <v/>
      </c>
      <c r="J89" s="19" t="n"/>
      <c r="K89" s="19" t="n"/>
    </row>
    <row r="90" ht="15" customHeight="1" s="16">
      <c r="A90" s="19" t="n"/>
      <c r="B90" s="19" t="n"/>
      <c r="C90" s="24" t="n"/>
      <c r="D90" s="18">
        <f>IF(A90="","",COUNTIFS('Trade Log'!B$2:B$201,A90,'Trade Log'!E$2:E$201,"LONG"))</f>
        <v/>
      </c>
      <c r="E90" s="18">
        <f>IF(A90="","",COUNTIFS('Trade Log'!B$2:B$201,A90,'Trade Log'!E$2:E$201,"SHORT"))</f>
        <v/>
      </c>
      <c r="F90" s="21">
        <f>IF(A90="","",SUMIFS('Trade Log'!R$2:R$201,'Trade Log'!B$2:B$201,A90,'Trade Log'!E$2:E$201,"LONG"))</f>
        <v/>
      </c>
      <c r="G90" s="21">
        <f>IF(A90="","",SUMIFS('Trade Log'!R$2:R$201,'Trade Log'!B$2:B$201,A90,'Trade Log'!E$2:E$201,"SHORT"))</f>
        <v/>
      </c>
      <c r="H90" s="21">
        <f>IF(A90="","",F90+G90)</f>
        <v/>
      </c>
      <c r="I90" s="21">
        <f>IF(A90="","",I89+H90)</f>
        <v/>
      </c>
      <c r="J90" s="19" t="n"/>
      <c r="K90" s="19" t="n"/>
    </row>
    <row r="91" ht="15" customHeight="1" s="16">
      <c r="A91" s="19" t="n"/>
      <c r="B91" s="19" t="n"/>
      <c r="C91" s="24" t="n"/>
      <c r="D91" s="18">
        <f>IF(A91="","",COUNTIFS('Trade Log'!B$2:B$201,A91,'Trade Log'!E$2:E$201,"LONG"))</f>
        <v/>
      </c>
      <c r="E91" s="18">
        <f>IF(A91="","",COUNTIFS('Trade Log'!B$2:B$201,A91,'Trade Log'!E$2:E$201,"SHORT"))</f>
        <v/>
      </c>
      <c r="F91" s="21">
        <f>IF(A91="","",SUMIFS('Trade Log'!R$2:R$201,'Trade Log'!B$2:B$201,A91,'Trade Log'!E$2:E$201,"LONG"))</f>
        <v/>
      </c>
      <c r="G91" s="21">
        <f>IF(A91="","",SUMIFS('Trade Log'!R$2:R$201,'Trade Log'!B$2:B$201,A91,'Trade Log'!E$2:E$201,"SHORT"))</f>
        <v/>
      </c>
      <c r="H91" s="21">
        <f>IF(A91="","",F91+G91)</f>
        <v/>
      </c>
      <c r="I91" s="21">
        <f>IF(A91="","",I90+H91)</f>
        <v/>
      </c>
      <c r="J91" s="19" t="n"/>
      <c r="K91" s="19" t="n"/>
    </row>
    <row r="92" ht="15" customHeight="1" s="16">
      <c r="A92" s="19" t="n"/>
      <c r="B92" s="19" t="n"/>
      <c r="C92" s="24" t="n"/>
      <c r="D92" s="18">
        <f>IF(A92="","",COUNTIFS('Trade Log'!B$2:B$201,A92,'Trade Log'!E$2:E$201,"LONG"))</f>
        <v/>
      </c>
      <c r="E92" s="18">
        <f>IF(A92="","",COUNTIFS('Trade Log'!B$2:B$201,A92,'Trade Log'!E$2:E$201,"SHORT"))</f>
        <v/>
      </c>
      <c r="F92" s="21">
        <f>IF(A92="","",SUMIFS('Trade Log'!R$2:R$201,'Trade Log'!B$2:B$201,A92,'Trade Log'!E$2:E$201,"LONG"))</f>
        <v/>
      </c>
      <c r="G92" s="21">
        <f>IF(A92="","",SUMIFS('Trade Log'!R$2:R$201,'Trade Log'!B$2:B$201,A92,'Trade Log'!E$2:E$201,"SHORT"))</f>
        <v/>
      </c>
      <c r="H92" s="21">
        <f>IF(A92="","",F92+G92)</f>
        <v/>
      </c>
      <c r="I92" s="21">
        <f>IF(A92="","",I91+H92)</f>
        <v/>
      </c>
      <c r="J92" s="19" t="n"/>
      <c r="K92" s="19" t="n"/>
    </row>
    <row r="93" ht="15" customHeight="1" s="16">
      <c r="A93" s="19" t="n"/>
      <c r="B93" s="19" t="n"/>
      <c r="C93" s="24" t="n"/>
      <c r="D93" s="18">
        <f>IF(A93="","",COUNTIFS('Trade Log'!B$2:B$201,A93,'Trade Log'!E$2:E$201,"LONG"))</f>
        <v/>
      </c>
      <c r="E93" s="18">
        <f>IF(A93="","",COUNTIFS('Trade Log'!B$2:B$201,A93,'Trade Log'!E$2:E$201,"SHORT"))</f>
        <v/>
      </c>
      <c r="F93" s="21">
        <f>IF(A93="","",SUMIFS('Trade Log'!R$2:R$201,'Trade Log'!B$2:B$201,A93,'Trade Log'!E$2:E$201,"LONG"))</f>
        <v/>
      </c>
      <c r="G93" s="21">
        <f>IF(A93="","",SUMIFS('Trade Log'!R$2:R$201,'Trade Log'!B$2:B$201,A93,'Trade Log'!E$2:E$201,"SHORT"))</f>
        <v/>
      </c>
      <c r="H93" s="21">
        <f>IF(A93="","",F93+G93)</f>
        <v/>
      </c>
      <c r="I93" s="21">
        <f>IF(A93="","",I92+H93)</f>
        <v/>
      </c>
      <c r="J93" s="19" t="n"/>
      <c r="K93" s="19" t="n"/>
    </row>
    <row r="94" ht="15" customHeight="1" s="16">
      <c r="A94" s="19" t="n"/>
      <c r="B94" s="19" t="n"/>
      <c r="C94" s="24" t="n"/>
      <c r="D94" s="18">
        <f>IF(A94="","",COUNTIFS('Trade Log'!B$2:B$201,A94,'Trade Log'!E$2:E$201,"LONG"))</f>
        <v/>
      </c>
      <c r="E94" s="18">
        <f>IF(A94="","",COUNTIFS('Trade Log'!B$2:B$201,A94,'Trade Log'!E$2:E$201,"SHORT"))</f>
        <v/>
      </c>
      <c r="F94" s="21">
        <f>IF(A94="","",SUMIFS('Trade Log'!R$2:R$201,'Trade Log'!B$2:B$201,A94,'Trade Log'!E$2:E$201,"LONG"))</f>
        <v/>
      </c>
      <c r="G94" s="21">
        <f>IF(A94="","",SUMIFS('Trade Log'!R$2:R$201,'Trade Log'!B$2:B$201,A94,'Trade Log'!E$2:E$201,"SHORT"))</f>
        <v/>
      </c>
      <c r="H94" s="21">
        <f>IF(A94="","",F94+G94)</f>
        <v/>
      </c>
      <c r="I94" s="21">
        <f>IF(A94="","",I93+H94)</f>
        <v/>
      </c>
      <c r="J94" s="19" t="n"/>
      <c r="K94" s="19" t="n"/>
    </row>
    <row r="95" ht="15" customHeight="1" s="16">
      <c r="A95" s="19" t="n"/>
      <c r="B95" s="19" t="n"/>
      <c r="C95" s="24" t="n"/>
      <c r="D95" s="18">
        <f>IF(A95="","",COUNTIFS('Trade Log'!B$2:B$201,A95,'Trade Log'!E$2:E$201,"LONG"))</f>
        <v/>
      </c>
      <c r="E95" s="18">
        <f>IF(A95="","",COUNTIFS('Trade Log'!B$2:B$201,A95,'Trade Log'!E$2:E$201,"SHORT"))</f>
        <v/>
      </c>
      <c r="F95" s="21">
        <f>IF(A95="","",SUMIFS('Trade Log'!R$2:R$201,'Trade Log'!B$2:B$201,A95,'Trade Log'!E$2:E$201,"LONG"))</f>
        <v/>
      </c>
      <c r="G95" s="21">
        <f>IF(A95="","",SUMIFS('Trade Log'!R$2:R$201,'Trade Log'!B$2:B$201,A95,'Trade Log'!E$2:E$201,"SHORT"))</f>
        <v/>
      </c>
      <c r="H95" s="21">
        <f>IF(A95="","",F95+G95)</f>
        <v/>
      </c>
      <c r="I95" s="21">
        <f>IF(A95="","",I94+H95)</f>
        <v/>
      </c>
      <c r="J95" s="19" t="n"/>
      <c r="K95" s="19" t="n"/>
    </row>
    <row r="96" ht="15" customHeight="1" s="16">
      <c r="A96" s="19" t="n"/>
      <c r="B96" s="19" t="n"/>
      <c r="C96" s="24" t="n"/>
      <c r="D96" s="18">
        <f>IF(A96="","",COUNTIFS('Trade Log'!B$2:B$201,A96,'Trade Log'!E$2:E$201,"LONG"))</f>
        <v/>
      </c>
      <c r="E96" s="18">
        <f>IF(A96="","",COUNTIFS('Trade Log'!B$2:B$201,A96,'Trade Log'!E$2:E$201,"SHORT"))</f>
        <v/>
      </c>
      <c r="F96" s="21">
        <f>IF(A96="","",SUMIFS('Trade Log'!R$2:R$201,'Trade Log'!B$2:B$201,A96,'Trade Log'!E$2:E$201,"LONG"))</f>
        <v/>
      </c>
      <c r="G96" s="21">
        <f>IF(A96="","",SUMIFS('Trade Log'!R$2:R$201,'Trade Log'!B$2:B$201,A96,'Trade Log'!E$2:E$201,"SHORT"))</f>
        <v/>
      </c>
      <c r="H96" s="21">
        <f>IF(A96="","",F96+G96)</f>
        <v/>
      </c>
      <c r="I96" s="21">
        <f>IF(A96="","",I95+H96)</f>
        <v/>
      </c>
      <c r="J96" s="19" t="n"/>
      <c r="K96" s="19" t="n"/>
    </row>
    <row r="97" ht="15" customHeight="1" s="16">
      <c r="A97" s="19" t="n"/>
      <c r="B97" s="19" t="n"/>
      <c r="C97" s="24" t="n"/>
      <c r="D97" s="18">
        <f>IF(A97="","",COUNTIFS('Trade Log'!B$2:B$201,A97,'Trade Log'!E$2:E$201,"LONG"))</f>
        <v/>
      </c>
      <c r="E97" s="18">
        <f>IF(A97="","",COUNTIFS('Trade Log'!B$2:B$201,A97,'Trade Log'!E$2:E$201,"SHORT"))</f>
        <v/>
      </c>
      <c r="F97" s="21">
        <f>IF(A97="","",SUMIFS('Trade Log'!R$2:R$201,'Trade Log'!B$2:B$201,A97,'Trade Log'!E$2:E$201,"LONG"))</f>
        <v/>
      </c>
      <c r="G97" s="21">
        <f>IF(A97="","",SUMIFS('Trade Log'!R$2:R$201,'Trade Log'!B$2:B$201,A97,'Trade Log'!E$2:E$201,"SHORT"))</f>
        <v/>
      </c>
      <c r="H97" s="21">
        <f>IF(A97="","",F97+G97)</f>
        <v/>
      </c>
      <c r="I97" s="21">
        <f>IF(A97="","",I96+H97)</f>
        <v/>
      </c>
      <c r="J97" s="19" t="n"/>
      <c r="K97" s="19" t="n"/>
    </row>
    <row r="98" ht="15" customHeight="1" s="16">
      <c r="A98" s="19" t="n"/>
      <c r="B98" s="19" t="n"/>
      <c r="C98" s="24" t="n"/>
      <c r="D98" s="18">
        <f>IF(A98="","",COUNTIFS('Trade Log'!B$2:B$201,A98,'Trade Log'!E$2:E$201,"LONG"))</f>
        <v/>
      </c>
      <c r="E98" s="18">
        <f>IF(A98="","",COUNTIFS('Trade Log'!B$2:B$201,A98,'Trade Log'!E$2:E$201,"SHORT"))</f>
        <v/>
      </c>
      <c r="F98" s="21">
        <f>IF(A98="","",SUMIFS('Trade Log'!R$2:R$201,'Trade Log'!B$2:B$201,A98,'Trade Log'!E$2:E$201,"LONG"))</f>
        <v/>
      </c>
      <c r="G98" s="21">
        <f>IF(A98="","",SUMIFS('Trade Log'!R$2:R$201,'Trade Log'!B$2:B$201,A98,'Trade Log'!E$2:E$201,"SHORT"))</f>
        <v/>
      </c>
      <c r="H98" s="21">
        <f>IF(A98="","",F98+G98)</f>
        <v/>
      </c>
      <c r="I98" s="21">
        <f>IF(A98="","",I97+H98)</f>
        <v/>
      </c>
      <c r="J98" s="19" t="n"/>
      <c r="K98" s="19" t="n"/>
    </row>
    <row r="99" ht="15" customHeight="1" s="16">
      <c r="A99" s="19" t="n"/>
      <c r="B99" s="19" t="n"/>
      <c r="C99" s="24" t="n"/>
      <c r="D99" s="18">
        <f>IF(A99="","",COUNTIFS('Trade Log'!B$2:B$201,A99,'Trade Log'!E$2:E$201,"LONG"))</f>
        <v/>
      </c>
      <c r="E99" s="18">
        <f>IF(A99="","",COUNTIFS('Trade Log'!B$2:B$201,A99,'Trade Log'!E$2:E$201,"SHORT"))</f>
        <v/>
      </c>
      <c r="F99" s="21">
        <f>IF(A99="","",SUMIFS('Trade Log'!R$2:R$201,'Trade Log'!B$2:B$201,A99,'Trade Log'!E$2:E$201,"LONG"))</f>
        <v/>
      </c>
      <c r="G99" s="21">
        <f>IF(A99="","",SUMIFS('Trade Log'!R$2:R$201,'Trade Log'!B$2:B$201,A99,'Trade Log'!E$2:E$201,"SHORT"))</f>
        <v/>
      </c>
      <c r="H99" s="21">
        <f>IF(A99="","",F99+G99)</f>
        <v/>
      </c>
      <c r="I99" s="21">
        <f>IF(A99="","",I98+H99)</f>
        <v/>
      </c>
      <c r="J99" s="19" t="n"/>
      <c r="K99" s="19" t="n"/>
    </row>
    <row r="100" ht="15" customHeight="1" s="16">
      <c r="A100" s="19" t="n"/>
      <c r="B100" s="19" t="n"/>
      <c r="C100" s="24" t="n"/>
      <c r="D100" s="18">
        <f>IF(A100="","",COUNTIFS('Trade Log'!B$2:B$201,A100,'Trade Log'!E$2:E$201,"LONG"))</f>
        <v/>
      </c>
      <c r="E100" s="18">
        <f>IF(A100="","",COUNTIFS('Trade Log'!B$2:B$201,A100,'Trade Log'!E$2:E$201,"SHORT"))</f>
        <v/>
      </c>
      <c r="F100" s="21">
        <f>IF(A100="","",SUMIFS('Trade Log'!R$2:R$201,'Trade Log'!B$2:B$201,A100,'Trade Log'!E$2:E$201,"LONG"))</f>
        <v/>
      </c>
      <c r="G100" s="21">
        <f>IF(A100="","",SUMIFS('Trade Log'!R$2:R$201,'Trade Log'!B$2:B$201,A100,'Trade Log'!E$2:E$201,"SHORT"))</f>
        <v/>
      </c>
      <c r="H100" s="21">
        <f>IF(A100="","",F100+G100)</f>
        <v/>
      </c>
      <c r="I100" s="21">
        <f>IF(A100="","",I99+H100)</f>
        <v/>
      </c>
      <c r="J100" s="19" t="n"/>
      <c r="K100" s="19" t="n"/>
    </row>
    <row r="101" ht="15" customHeight="1" s="16">
      <c r="A101" s="19" t="n"/>
      <c r="B101" s="19" t="n"/>
      <c r="C101" s="24" t="n"/>
      <c r="D101" s="18">
        <f>IF(A101="","",COUNTIFS('Trade Log'!B$2:B$201,A101,'Trade Log'!E$2:E$201,"LONG"))</f>
        <v/>
      </c>
      <c r="E101" s="18">
        <f>IF(A101="","",COUNTIFS('Trade Log'!B$2:B$201,A101,'Trade Log'!E$2:E$201,"SHORT"))</f>
        <v/>
      </c>
      <c r="F101" s="21">
        <f>IF(A101="","",SUMIFS('Trade Log'!R$2:R$201,'Trade Log'!B$2:B$201,A101,'Trade Log'!E$2:E$201,"LONG"))</f>
        <v/>
      </c>
      <c r="G101" s="21">
        <f>IF(A101="","",SUMIFS('Trade Log'!R$2:R$201,'Trade Log'!B$2:B$201,A101,'Trade Log'!E$2:E$201,"SHORT"))</f>
        <v/>
      </c>
      <c r="H101" s="21">
        <f>IF(A101="","",F101+G101)</f>
        <v/>
      </c>
      <c r="I101" s="21">
        <f>IF(A101="","",I100+H101)</f>
        <v/>
      </c>
      <c r="J101" s="19" t="n"/>
      <c r="K101" s="19" t="n"/>
    </row>
  </sheetData>
  <dataValidations count="1">
    <dataValidation sqref="B2:B101" showDropDown="0" showInputMessage="0" showErrorMessage="0" allowBlank="1" type="list" errorStyle="stop" operator="between">
      <formula1>"GREEN+TREND,GREEN+CHOPPY,RED+TREND,RED+CHOPPY,FLAT+TREND,FLAT+CHOPPY"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15" min="1" max="1"/>
    <col width="16" customWidth="1" style="15" min="2" max="3"/>
    <col width="3" customWidth="1" style="15" min="4" max="4"/>
    <col width="24" customWidth="1" style="15" min="5" max="5"/>
    <col width="16" customWidth="1" style="15" min="6" max="6"/>
    <col width="12" customWidth="1" style="15" min="7" max="7"/>
  </cols>
  <sheetData>
    <row r="1" ht="17.35" customHeight="1" s="16">
      <c r="A1" s="25" t="inlineStr">
        <is>
          <t>PORTFOLIO D — RUNNING STATISTICS (Variant 2)</t>
        </is>
      </c>
    </row>
    <row r="3" ht="15" customHeight="1" s="16">
      <c r="A3" s="26" t="inlineStr">
        <is>
          <t>Backtest Reference (Frozen)</t>
        </is>
      </c>
      <c r="E3" s="26" t="inlineStr">
        <is>
          <t>Per-Book Backtest Reference</t>
        </is>
      </c>
    </row>
    <row r="4" ht="15" customHeight="1" s="16">
      <c r="A4" s="18" t="inlineStr">
        <is>
          <t>PF(R)</t>
        </is>
      </c>
      <c r="B4" s="18" t="inlineStr">
        <is>
          <t>2.23</t>
        </is>
      </c>
      <c r="E4" s="27" t="inlineStr">
        <is>
          <t>Long Book</t>
        </is>
      </c>
    </row>
    <row r="5" ht="15" customHeight="1" s="16">
      <c r="A5" s="18" t="inlineStr">
        <is>
          <t>Exp(R)</t>
        </is>
      </c>
      <c r="B5" s="18" t="inlineStr">
        <is>
          <t>+0.461R</t>
        </is>
      </c>
      <c r="E5" s="18" t="inlineStr">
        <is>
          <t xml:space="preserve">  N</t>
        </is>
      </c>
      <c r="F5" s="18" t="inlineStr">
        <is>
          <t>37</t>
        </is>
      </c>
    </row>
    <row r="6" ht="15" customHeight="1" s="16">
      <c r="A6" s="18" t="inlineStr">
        <is>
          <t>Total R</t>
        </is>
      </c>
      <c r="B6" s="18" t="inlineStr">
        <is>
          <t>+31.79R</t>
        </is>
      </c>
      <c r="E6" s="18" t="inlineStr">
        <is>
          <t xml:space="preserve">  PF(R)</t>
        </is>
      </c>
      <c r="F6" s="18" t="inlineStr">
        <is>
          <t>1.74</t>
        </is>
      </c>
    </row>
    <row r="7" ht="15" customHeight="1" s="16">
      <c r="A7" s="18" t="inlineStr">
        <is>
          <t>Max DD (R)</t>
        </is>
      </c>
      <c r="B7" s="18" t="inlineStr">
        <is>
          <t>5.29R</t>
        </is>
      </c>
      <c r="E7" s="18" t="inlineStr">
        <is>
          <t xml:space="preserve">  Exp(R)</t>
        </is>
      </c>
      <c r="F7" s="18" t="inlineStr">
        <is>
          <t>+0.414R</t>
        </is>
      </c>
    </row>
    <row r="8" ht="15" customHeight="1" s="16">
      <c r="A8" s="18" t="inlineStr">
        <is>
          <t>N</t>
        </is>
      </c>
      <c r="B8" s="18" t="inlineStr">
        <is>
          <t>69</t>
        </is>
      </c>
      <c r="E8" s="18" t="inlineStr">
        <is>
          <t xml:space="preserve">  Total R</t>
        </is>
      </c>
      <c r="F8" s="18" t="inlineStr">
        <is>
          <t>+15.32R</t>
        </is>
      </c>
    </row>
    <row r="9" ht="15" customHeight="1" s="16">
      <c r="A9" s="18" t="inlineStr">
        <is>
          <t>WR</t>
        </is>
      </c>
      <c r="B9" s="18" t="inlineStr">
        <is>
          <t>59.4%</t>
        </is>
      </c>
    </row>
    <row r="10" ht="15" customHeight="1" s="16">
      <c r="A10" s="18" t="inlineStr">
        <is>
          <t>Stop Rate</t>
        </is>
      </c>
      <c r="B10" s="18" t="inlineStr">
        <is>
          <t>14.5%</t>
        </is>
      </c>
      <c r="E10" s="27" t="inlineStr">
        <is>
          <t>Short Book (BDR AM)</t>
        </is>
      </c>
    </row>
    <row r="11" ht="15" customHeight="1" s="16">
      <c r="E11" s="18" t="inlineStr">
        <is>
          <t xml:space="preserve">  N</t>
        </is>
      </c>
      <c r="F11" s="18" t="inlineStr">
        <is>
          <t>32</t>
        </is>
      </c>
    </row>
    <row r="12" ht="15" customHeight="1" s="16">
      <c r="A12" s="26" t="inlineStr">
        <is>
          <t>Live / Paper Stats</t>
        </is>
      </c>
      <c r="E12" s="18" t="inlineStr">
        <is>
          <t xml:space="preserve">  PF(R)</t>
        </is>
      </c>
      <c r="F12" s="18" t="inlineStr">
        <is>
          <t>4.23</t>
        </is>
      </c>
    </row>
    <row r="13" ht="15" customHeight="1" s="16">
      <c r="A13" s="18" t="inlineStr">
        <is>
          <t>Total Trades</t>
        </is>
      </c>
      <c r="B13" s="18">
        <f>COUNTA('Trade Log'!B2:B201)-COUNTBLANK('Trade Log'!B2:B201)</f>
        <v/>
      </c>
      <c r="E13" s="18" t="inlineStr">
        <is>
          <t xml:space="preserve">  Exp(R)</t>
        </is>
      </c>
      <c r="F13" s="18" t="inlineStr">
        <is>
          <t>+0.515R</t>
        </is>
      </c>
    </row>
    <row r="14" ht="15" customHeight="1" s="16">
      <c r="A14" s="18" t="inlineStr">
        <is>
          <t>Wins</t>
        </is>
      </c>
      <c r="B14" s="18">
        <f>COUNTIF('Trade Log'!R2:R201,"&gt;"&amp;0)</f>
        <v/>
      </c>
      <c r="E14" s="18" t="inlineStr">
        <is>
          <t xml:space="preserve">  Total R</t>
        </is>
      </c>
      <c r="F14" s="18" t="inlineStr">
        <is>
          <t>+16.47R</t>
        </is>
      </c>
    </row>
    <row r="15" ht="15" customHeight="1" s="16">
      <c r="A15" s="18" t="inlineStr">
        <is>
          <t>Losses</t>
        </is>
      </c>
      <c r="B15" s="18">
        <f>COUNTIF('Trade Log'!R2:R201,"&lt;="&amp;0)</f>
        <v/>
      </c>
    </row>
    <row r="16" ht="15" customHeight="1" s="16">
      <c r="A16" s="18" t="inlineStr">
        <is>
          <t>Win Rate</t>
        </is>
      </c>
      <c r="B16" s="28">
        <f>IF(B13&gt;0,B14/B13,"")</f>
        <v/>
      </c>
      <c r="E16" s="26" t="inlineStr">
        <is>
          <t>Regime Breakdown (Live)</t>
        </is>
      </c>
    </row>
    <row r="17" ht="15" customHeight="1" s="16">
      <c r="A17" s="18" t="inlineStr">
        <is>
          <t>Gross Win (R)</t>
        </is>
      </c>
      <c r="B17" s="21">
        <f>SUMIFS('Trade Log'!R$2:R$201,'Trade Log'!R$2:R$201,"&gt;"&amp;0)</f>
        <v/>
      </c>
      <c r="E17" s="27" t="inlineStr">
        <is>
          <t>Regime</t>
        </is>
      </c>
      <c r="F17" s="27" t="inlineStr">
        <is>
          <t>Trades</t>
        </is>
      </c>
      <c r="G17" s="27" t="inlineStr">
        <is>
          <t>R Total</t>
        </is>
      </c>
    </row>
    <row r="18" ht="15" customHeight="1" s="16">
      <c r="A18" s="18" t="inlineStr">
        <is>
          <t>Gross Loss (R)</t>
        </is>
      </c>
      <c r="B18" s="21">
        <f>SUMIFS('Trade Log'!R$2:R$201,'Trade Log'!R$2:R$201,"&lt;="&amp;0)</f>
        <v/>
      </c>
      <c r="E18" s="18" t="inlineStr">
        <is>
          <t>GREEN+TREND</t>
        </is>
      </c>
      <c r="F18" s="18">
        <f>COUNTIFS('Trade Log'!H$2:H$201,"GREEN+TREND",'Trade Log'!B$2:B$201,"&lt;&gt;"&amp;"")</f>
        <v/>
      </c>
      <c r="G18" s="21">
        <f>SUMIFS('Trade Log'!R$2:R$201,'Trade Log'!H$2:H$201,"GREEN+TREND")</f>
        <v/>
      </c>
    </row>
    <row r="19" ht="15" customHeight="1" s="16">
      <c r="A19" s="18" t="inlineStr">
        <is>
          <t>PF(R)</t>
        </is>
      </c>
      <c r="B19" s="29">
        <f>IF(ABS(B18)&gt;0,B17/ABS(B18),"")</f>
        <v/>
      </c>
      <c r="E19" s="18" t="inlineStr">
        <is>
          <t>GREEN+CHOPPY</t>
        </is>
      </c>
      <c r="F19" s="18">
        <f>COUNTIFS('Trade Log'!H$2:H$201,"GREEN+CHOPPY",'Trade Log'!B$2:B$201,"&lt;&gt;"&amp;"")</f>
        <v/>
      </c>
      <c r="G19" s="21">
        <f>SUMIFS('Trade Log'!R$2:R$201,'Trade Log'!H$2:H$201,"GREEN+CHOPPY")</f>
        <v/>
      </c>
    </row>
    <row r="20" ht="15" customHeight="1" s="16">
      <c r="A20" s="18" t="inlineStr">
        <is>
          <t>Exp(R)</t>
        </is>
      </c>
      <c r="B20" s="30">
        <f>IF(B13&gt;0,(B17+B18)/B13,"")</f>
        <v/>
      </c>
      <c r="E20" s="18" t="inlineStr">
        <is>
          <t>RED+TREND</t>
        </is>
      </c>
      <c r="F20" s="18">
        <f>COUNTIFS('Trade Log'!H$2:H$201,"RED+TREND",'Trade Log'!B$2:B$201,"&lt;&gt;"&amp;"")</f>
        <v/>
      </c>
      <c r="G20" s="21">
        <f>SUMIFS('Trade Log'!R$2:R$201,'Trade Log'!H$2:H$201,"RED+TREND")</f>
        <v/>
      </c>
    </row>
    <row r="21" ht="15" customHeight="1" s="16">
      <c r="A21" s="18" t="inlineStr">
        <is>
          <t>Total R</t>
        </is>
      </c>
      <c r="B21" s="21">
        <f>IF(B13&gt;0,B17+B18,"")</f>
        <v/>
      </c>
      <c r="E21" s="18" t="inlineStr">
        <is>
          <t>RED+CHOPPY</t>
        </is>
      </c>
      <c r="F21" s="18">
        <f>COUNTIFS('Trade Log'!H$2:H$201,"RED+CHOPPY",'Trade Log'!B$2:B$201,"&lt;&gt;"&amp;"")</f>
        <v/>
      </c>
      <c r="G21" s="21">
        <f>SUMIFS('Trade Log'!R$2:R$201,'Trade Log'!H$2:H$201,"RED+CHOPPY")</f>
        <v/>
      </c>
    </row>
    <row r="22" ht="15" customHeight="1" s="16">
      <c r="A22" s="18" t="inlineStr">
        <is>
          <t>Max DD (R)</t>
        </is>
      </c>
      <c r="B22" s="29">
        <f>IF(B13&gt;0,MAX(INDIRECT("'Trade Log'!T2:T"&amp;(B13+1)))-MIN(INDIRECT("'Trade Log'!T2:T"&amp;(B13+1))),"")</f>
        <v/>
      </c>
      <c r="E22" s="18" t="inlineStr">
        <is>
          <t>FLAT+TREND</t>
        </is>
      </c>
      <c r="F22" s="18">
        <f>COUNTIFS('Trade Log'!H$2:H$201,"FLAT+TREND",'Trade Log'!B$2:B$201,"&lt;&gt;"&amp;"")</f>
        <v/>
      </c>
      <c r="G22" s="21">
        <f>SUMIFS('Trade Log'!R$2:R$201,'Trade Log'!H$2:H$201,"FLAT+TREND")</f>
        <v/>
      </c>
    </row>
    <row r="23" ht="15" customHeight="1" s="16">
      <c r="A23" s="18" t="inlineStr">
        <is>
          <t>Stop Rate</t>
        </is>
      </c>
      <c r="B23" s="28">
        <f>IF(B13&gt;0,COUNTIFS('Trade Log'!O2:O201,"stop")/B13,"")</f>
        <v/>
      </c>
      <c r="E23" s="18" t="inlineStr">
        <is>
          <t>FLAT+CHOPPY</t>
        </is>
      </c>
      <c r="F23" s="18">
        <f>COUNTIFS('Trade Log'!H$2:H$201,"FLAT+CHOPPY",'Trade Log'!B$2:B$201,"&lt;&gt;"&amp;"")</f>
        <v/>
      </c>
      <c r="G23" s="21">
        <f>SUMIFS('Trade Log'!R$2:R$201,'Trade Log'!H$2:H$201,"FLAT+CHOPPY")</f>
        <v/>
      </c>
    </row>
    <row r="25" ht="15" customHeight="1" s="16">
      <c r="A25" s="26" t="inlineStr">
        <is>
          <t>Long Book (Live)</t>
        </is>
      </c>
    </row>
    <row r="26" ht="15" customHeight="1" s="16">
      <c r="A26" s="18" t="inlineStr">
        <is>
          <t>Long Trades</t>
        </is>
      </c>
      <c r="B26" s="18">
        <f>COUNTIFS('Trade Log'!E$2:E$201,"LONG",'Trade Log'!B$2:B$201,"&lt;&gt;"&amp;"")</f>
        <v/>
      </c>
      <c r="E26" s="26" t="inlineStr">
        <is>
          <t>Setup Breakdown (Live)</t>
        </is>
      </c>
    </row>
    <row r="27" ht="15" customHeight="1" s="16">
      <c r="A27" s="18" t="inlineStr">
        <is>
          <t>Long WR</t>
        </is>
      </c>
      <c r="B27" s="28">
        <f>IF(B26&gt;0,COUNTIFS('Trade Log'!E$2:E$201,"LONG",'Trade Log'!R$2:R$201,"&gt;"&amp;0)/B26,"")</f>
        <v/>
      </c>
      <c r="E27" s="27" t="inlineStr">
        <is>
          <t>Setup</t>
        </is>
      </c>
      <c r="F27" s="27" t="inlineStr">
        <is>
          <t>Trades</t>
        </is>
      </c>
      <c r="G27" s="27" t="inlineStr">
        <is>
          <t>R Total</t>
        </is>
      </c>
    </row>
    <row r="28" ht="15" customHeight="1" s="16">
      <c r="A28" s="18" t="inlineStr">
        <is>
          <t>Long PF(R)</t>
        </is>
      </c>
      <c r="B28" s="29">
        <f>IF(B26&gt;0,SUMIFS('Trade Log'!R$2:R$201,'Trade Log'!E$2:E$201,"LONG",'Trade Log'!R$2:R$201,"&gt;"&amp;0)/ABS(SUMIFS('Trade Log'!R$2:R$201,'Trade Log'!E$2:E$201,"LONG",'Trade Log'!R$2:R$201,"&lt;="&amp;0)),"")</f>
        <v/>
      </c>
      <c r="E28" s="18" t="inlineStr">
        <is>
          <t>VWAP_KISS</t>
        </is>
      </c>
      <c r="F28" s="18">
        <f>COUNTIFS('Trade Log'!F$2:F$201,"VWAP_KISS",'Trade Log'!B$2:B$201,"&lt;&gt;"&amp;"")</f>
        <v/>
      </c>
      <c r="G28" s="21">
        <f>SUMIFS('Trade Log'!R$2:R$201,'Trade Log'!F$2:F$201,"VWAP_KISS")</f>
        <v/>
      </c>
    </row>
    <row r="29" ht="15" customHeight="1" s="16">
      <c r="A29" s="18" t="inlineStr">
        <is>
          <t>Long Exp(R)</t>
        </is>
      </c>
      <c r="B29" s="30">
        <f>IF(B26&gt;0,SUMIFS('Trade Log'!R$2:R$201,'Trade Log'!E$2:E$201,"LONG")/B26,"")</f>
        <v/>
      </c>
      <c r="E29" s="18" t="inlineStr">
        <is>
          <t>SECOND_CHANCE</t>
        </is>
      </c>
      <c r="F29" s="18">
        <f>COUNTIFS('Trade Log'!F$2:F$201,"SECOND_CHANCE",'Trade Log'!B$2:B$201,"&lt;&gt;"&amp;"")</f>
        <v/>
      </c>
      <c r="G29" s="21">
        <f>SUMIFS('Trade Log'!R$2:R$201,'Trade Log'!F$2:F$201,"SECOND_CHANCE")</f>
        <v/>
      </c>
    </row>
    <row r="30" ht="15" customHeight="1" s="16">
      <c r="A30" s="18" t="inlineStr">
        <is>
          <t>Long Total R</t>
        </is>
      </c>
      <c r="B30" s="21">
        <f>SUMIFS('Trade Log'!R$2:R$201,'Trade Log'!E$2:E$201,"LONG")</f>
        <v/>
      </c>
      <c r="E30" s="18" t="inlineStr">
        <is>
          <t>SC_V2</t>
        </is>
      </c>
      <c r="F30" s="18">
        <f>COUNTIFS('Trade Log'!F$2:F$201,"SC_V2",'Trade Log'!B$2:B$201,"&lt;&gt;"&amp;"")</f>
        <v/>
      </c>
      <c r="G30" s="21">
        <f>SUMIFS('Trade Log'!R$2:R$201,'Trade Log'!F$2:F$201,"SC_V2")</f>
        <v/>
      </c>
    </row>
    <row r="31" ht="15" customHeight="1" s="16">
      <c r="E31" s="18" t="inlineStr">
        <is>
          <t>SPENCER</t>
        </is>
      </c>
      <c r="F31" s="18">
        <f>COUNTIFS('Trade Log'!F$2:F$201,"SPENCER",'Trade Log'!B$2:B$201,"&lt;&gt;"&amp;"")</f>
        <v/>
      </c>
      <c r="G31" s="21">
        <f>SUMIFS('Trade Log'!R$2:R$201,'Trade Log'!F$2:F$201,"SPENCER")</f>
        <v/>
      </c>
    </row>
    <row r="32" ht="15" customHeight="1" s="16">
      <c r="A32" s="26" t="inlineStr">
        <is>
          <t>Short Book (Live)</t>
        </is>
      </c>
      <c r="E32" s="18" t="inlineStr">
        <is>
          <t>BDR_SHORT</t>
        </is>
      </c>
      <c r="F32" s="18">
        <f>COUNTIFS('Trade Log'!F$2:F$201,"BDR_SHORT",'Trade Log'!B$2:B$201,"&lt;&gt;"&amp;"")</f>
        <v/>
      </c>
      <c r="G32" s="21">
        <f>SUMIFS('Trade Log'!R$2:R$201,'Trade Log'!F$2:F$201,"BDR_SHORT")</f>
        <v/>
      </c>
    </row>
    <row r="33" ht="15" customHeight="1" s="16">
      <c r="A33" s="18" t="inlineStr">
        <is>
          <t>Short Trades</t>
        </is>
      </c>
      <c r="B33" s="18">
        <f>COUNTIFS('Trade Log'!E$2:E$201,"SHORT",'Trade Log'!B$2:B$201,"&lt;&gt;"&amp;"")</f>
        <v/>
      </c>
      <c r="E33" s="18" t="inlineStr">
        <is>
          <t>EMA_RECLAIM</t>
        </is>
      </c>
      <c r="F33" s="18">
        <f>COUNTIFS('Trade Log'!F$2:F$201,"EMA_RECLAIM",'Trade Log'!B$2:B$201,"&lt;&gt;"&amp;"")</f>
        <v/>
      </c>
      <c r="G33" s="21">
        <f>SUMIFS('Trade Log'!R$2:R$201,'Trade Log'!F$2:F$201,"EMA_RECLAIM")</f>
        <v/>
      </c>
    </row>
    <row r="34" ht="15" customHeight="1" s="16">
      <c r="A34" s="18" t="inlineStr">
        <is>
          <t>Short WR</t>
        </is>
      </c>
      <c r="B34" s="28">
        <f>IF(B33&gt;0,COUNTIFS('Trade Log'!E$2:E$201,"SHORT",'Trade Log'!R$2:R$201,"&gt;"&amp;0)/B33,"")</f>
        <v/>
      </c>
      <c r="E34" s="18" t="inlineStr">
        <is>
          <t>EMA_FPIP</t>
        </is>
      </c>
      <c r="F34" s="18">
        <f>COUNTIFS('Trade Log'!F$2:F$201,"EMA_FPIP",'Trade Log'!B$2:B$201,"&lt;&gt;"&amp;"")</f>
        <v/>
      </c>
      <c r="G34" s="21">
        <f>SUMIFS('Trade Log'!R$2:R$201,'Trade Log'!F$2:F$201,"EMA_FPIP")</f>
        <v/>
      </c>
    </row>
    <row r="35" ht="15" customHeight="1" s="16">
      <c r="A35" s="18" t="inlineStr">
        <is>
          <t>Short PF(R)</t>
        </is>
      </c>
      <c r="B35" s="29">
        <f>IF(B33&gt;0,SUMIFS('Trade Log'!R$2:R$201,'Trade Log'!E$2:E$201,"SHORT",'Trade Log'!R$2:R$201,"&gt;"&amp;0)/ABS(SUMIFS('Trade Log'!R$2:R$201,'Trade Log'!E$2:E$201,"SHORT",'Trade Log'!R$2:R$201,"&lt;="&amp;0)),"")</f>
        <v/>
      </c>
    </row>
    <row r="36" ht="15" customHeight="1" s="16">
      <c r="A36" s="18" t="inlineStr">
        <is>
          <t>Short Exp(R)</t>
        </is>
      </c>
      <c r="B36" s="30">
        <f>IF(B33&gt;0,SUMIFS('Trade Log'!R$2:R$201,'Trade Log'!E$2:E$201,"SHORT")/B33,"")</f>
        <v/>
      </c>
    </row>
    <row r="37" ht="15" customHeight="1" s="16">
      <c r="A37" s="18" t="inlineStr">
        <is>
          <t>Short Total R</t>
        </is>
      </c>
      <c r="B37" s="21">
        <f>SUMIFS('Trade Log'!R$2:R$201,'Trade Log'!E$2:E$201,"SHORT")</f>
        <v/>
      </c>
    </row>
    <row r="39" ht="15" customHeight="1" s="16">
      <c r="A39" s="26" t="inlineStr">
        <is>
          <t>Promotion Readiness</t>
        </is>
      </c>
    </row>
    <row r="40" ht="15" customHeight="1" s="16">
      <c r="A40" s="18" t="inlineStr">
        <is>
          <t>Min 50 trades</t>
        </is>
      </c>
      <c r="B40" s="18">
        <f>IF(B13&gt;=50,"PASS","FAIL ("&amp;B13&amp;"/50)")</f>
        <v/>
      </c>
    </row>
    <row r="41" ht="15" customHeight="1" s="16">
      <c r="A41" s="18" t="inlineStr">
        <is>
          <t>Min 25 long trades</t>
        </is>
      </c>
      <c r="B41" s="18">
        <f>IF(B26&gt;=25,"PASS","FAIL ("&amp;B26&amp;"/25)")</f>
        <v/>
      </c>
    </row>
    <row r="42" ht="15" customHeight="1" s="16">
      <c r="A42" s="18" t="inlineStr">
        <is>
          <t>Min 15 short trades</t>
        </is>
      </c>
      <c r="B42" s="18">
        <f>IF(B33&gt;=15,"PASS","FAIL ("&amp;B33&amp;"/15)")</f>
        <v/>
      </c>
    </row>
    <row r="43" ht="15" customHeight="1" s="16">
      <c r="A43" s="18" t="inlineStr">
        <is>
          <t>PF(R) &gt;= 1.30</t>
        </is>
      </c>
      <c r="B43" s="18">
        <f>IF(B19="","—",IF(B19&gt;=1.3,"PASS","FAIL ("&amp;TEXT(B19,"0.00")&amp;")"))</f>
        <v/>
      </c>
    </row>
    <row r="44" ht="15" customHeight="1" s="16">
      <c r="A44" s="18" t="inlineStr">
        <is>
          <t>Exp(R) &gt; +0.10</t>
        </is>
      </c>
      <c r="B44" s="18">
        <f>IF(B20="","—",IF(B20&gt;0.1,"PASS","FAIL ("&amp;TEXT(B20,"+0.000")&amp;")"))</f>
        <v/>
      </c>
    </row>
    <row r="45" ht="15" customHeight="1" s="16">
      <c r="A45" s="18" t="inlineStr">
        <is>
          <t>Max DD &lt; 15R</t>
        </is>
      </c>
      <c r="B45" s="18">
        <f>IF(B22="","—",IF(B22&lt;15,"PASS","FAIL ("&amp;TEXT(B22,"0.00")&amp;"R)"))</f>
        <v/>
      </c>
    </row>
    <row r="46" ht="15" customHeight="1" s="16">
      <c r="A46" s="18" t="inlineStr">
        <is>
          <t>Stop Rate &lt; 30%</t>
        </is>
      </c>
      <c r="B46" s="18">
        <f>IF(B23="","—",IF(B23&lt;0.3,"PASS","FAIL ("&amp;TEXT(B23,"0.0%")&amp;")"))</f>
        <v/>
      </c>
    </row>
    <row r="47" ht="15" customHeight="1" s="16">
      <c r="A47" s="18" t="inlineStr">
        <is>
          <t>Long Exp &gt; 0</t>
        </is>
      </c>
      <c r="B47" s="18">
        <f>IF(B29="","—",IF(B29&gt;0,"PASS","FAIL"))</f>
        <v/>
      </c>
    </row>
    <row r="48" ht="15" customHeight="1" s="16">
      <c r="A48" s="18" t="inlineStr">
        <is>
          <t>Short Exp &gt; 0</t>
        </is>
      </c>
      <c r="B48" s="18">
        <f>IF(B36="","—",IF(B36&gt;0,"PASS","FAIL"))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2026-03-09T12:18:45Z</dcterms:created>
  <dcterms:modified xmlns:dcterms="http://purl.org/dc/terms/" xmlns:xsi="http://www.w3.org/2001/XMLSchema-instance" xsi:type="dcterms:W3CDTF">2026-03-09T14:11:20Z</dcterms:modified>
  <cp:revision>0</cp:revision>
</cp:coreProperties>
</file>