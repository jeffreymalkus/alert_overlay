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jeffreymalkus/Projects/alert_overlay/"/>
    </mc:Choice>
  </mc:AlternateContent>
  <xr:revisionPtr revIDLastSave="0" documentId="13_ncr:1_{D6B045EC-3846-0347-B991-C62CE9384432}" xr6:coauthVersionLast="47" xr6:coauthVersionMax="47" xr10:uidLastSave="{00000000-0000-0000-0000-000000000000}"/>
  <bookViews>
    <workbookView minimized="1" xWindow="3720" yWindow="1240" windowWidth="28240" windowHeight="17320" tabRatio="500" activeTab="1" xr2:uid="{00000000-000D-0000-FFFF-FFFF00000000}"/>
  </bookViews>
  <sheets>
    <sheet name="Instructions" sheetId="1" r:id="rId1"/>
    <sheet name="Trade Log" sheetId="2" r:id="rId2"/>
    <sheet name="Dashboard" sheetId="3" r:id="rId3"/>
    <sheet name="Behavioral" sheetId="4" r:id="rId4"/>
    <sheet name="Daily P&amp;L" sheetId="5" r:id="rId5"/>
  </sheets>
  <definedNames>
    <definedName name="_xlnm._FilterDatabase" localSheetId="1" hidden="1">'Trade Log'!$A$1:$AC$1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5" l="1"/>
  <c r="C6" i="5"/>
  <c r="D6" i="5"/>
  <c r="E6" i="5"/>
  <c r="F6" i="5"/>
  <c r="G6" i="5"/>
  <c r="G252" i="5"/>
  <c r="F252" i="5"/>
  <c r="D252" i="5"/>
  <c r="C252" i="5"/>
  <c r="B252" i="5"/>
  <c r="E252" i="5" s="1"/>
  <c r="G251" i="5"/>
  <c r="F251" i="5"/>
  <c r="D251" i="5"/>
  <c r="C251" i="5"/>
  <c r="B251" i="5"/>
  <c r="E251" i="5" s="1"/>
  <c r="G250" i="5"/>
  <c r="F250" i="5"/>
  <c r="D250" i="5"/>
  <c r="C250" i="5"/>
  <c r="B250" i="5"/>
  <c r="E250" i="5" s="1"/>
  <c r="G249" i="5"/>
  <c r="F249" i="5"/>
  <c r="D249" i="5"/>
  <c r="C249" i="5"/>
  <c r="B249" i="5"/>
  <c r="E249" i="5" s="1"/>
  <c r="G248" i="5"/>
  <c r="F248" i="5"/>
  <c r="D248" i="5"/>
  <c r="C248" i="5"/>
  <c r="B248" i="5"/>
  <c r="E248" i="5" s="1"/>
  <c r="G247" i="5"/>
  <c r="F247" i="5"/>
  <c r="D247" i="5"/>
  <c r="C247" i="5"/>
  <c r="B247" i="5"/>
  <c r="E247" i="5" s="1"/>
  <c r="G246" i="5"/>
  <c r="F246" i="5"/>
  <c r="E246" i="5"/>
  <c r="D246" i="5"/>
  <c r="C246" i="5"/>
  <c r="B246" i="5"/>
  <c r="G245" i="5"/>
  <c r="F245" i="5"/>
  <c r="D245" i="5"/>
  <c r="C245" i="5"/>
  <c r="B245" i="5"/>
  <c r="E245" i="5" s="1"/>
  <c r="G244" i="5"/>
  <c r="F244" i="5"/>
  <c r="D244" i="5"/>
  <c r="C244" i="5"/>
  <c r="B244" i="5"/>
  <c r="E244" i="5" s="1"/>
  <c r="G243" i="5"/>
  <c r="F243" i="5"/>
  <c r="D243" i="5"/>
  <c r="C243" i="5"/>
  <c r="B243" i="5"/>
  <c r="E243" i="5" s="1"/>
  <c r="G242" i="5"/>
  <c r="F242" i="5"/>
  <c r="E242" i="5"/>
  <c r="D242" i="5"/>
  <c r="C242" i="5"/>
  <c r="B242" i="5"/>
  <c r="G241" i="5"/>
  <c r="F241" i="5"/>
  <c r="D241" i="5"/>
  <c r="C241" i="5"/>
  <c r="B241" i="5"/>
  <c r="E241" i="5" s="1"/>
  <c r="G240" i="5"/>
  <c r="F240" i="5"/>
  <c r="D240" i="5"/>
  <c r="C240" i="5"/>
  <c r="B240" i="5"/>
  <c r="E240" i="5" s="1"/>
  <c r="G239" i="5"/>
  <c r="F239" i="5"/>
  <c r="D239" i="5"/>
  <c r="C239" i="5"/>
  <c r="B239" i="5"/>
  <c r="E239" i="5" s="1"/>
  <c r="G238" i="5"/>
  <c r="F238" i="5"/>
  <c r="D238" i="5"/>
  <c r="C238" i="5"/>
  <c r="B238" i="5"/>
  <c r="E238" i="5" s="1"/>
  <c r="G237" i="5"/>
  <c r="F237" i="5"/>
  <c r="E237" i="5"/>
  <c r="D237" i="5"/>
  <c r="C237" i="5"/>
  <c r="B237" i="5"/>
  <c r="G236" i="5"/>
  <c r="F236" i="5"/>
  <c r="D236" i="5"/>
  <c r="C236" i="5"/>
  <c r="B236" i="5"/>
  <c r="E236" i="5" s="1"/>
  <c r="G235" i="5"/>
  <c r="F235" i="5"/>
  <c r="D235" i="5"/>
  <c r="C235" i="5"/>
  <c r="B235" i="5"/>
  <c r="E235" i="5" s="1"/>
  <c r="G234" i="5"/>
  <c r="F234" i="5"/>
  <c r="D234" i="5"/>
  <c r="C234" i="5"/>
  <c r="B234" i="5"/>
  <c r="E234" i="5" s="1"/>
  <c r="G233" i="5"/>
  <c r="F233" i="5"/>
  <c r="D233" i="5"/>
  <c r="C233" i="5"/>
  <c r="B233" i="5"/>
  <c r="E233" i="5" s="1"/>
  <c r="G232" i="5"/>
  <c r="F232" i="5"/>
  <c r="D232" i="5"/>
  <c r="C232" i="5"/>
  <c r="B232" i="5"/>
  <c r="E232" i="5" s="1"/>
  <c r="G231" i="5"/>
  <c r="F231" i="5"/>
  <c r="D231" i="5"/>
  <c r="C231" i="5"/>
  <c r="B231" i="5"/>
  <c r="E231" i="5" s="1"/>
  <c r="G230" i="5"/>
  <c r="F230" i="5"/>
  <c r="D230" i="5"/>
  <c r="C230" i="5"/>
  <c r="B230" i="5"/>
  <c r="E230" i="5" s="1"/>
  <c r="G229" i="5"/>
  <c r="F229" i="5"/>
  <c r="E229" i="5"/>
  <c r="D229" i="5"/>
  <c r="C229" i="5"/>
  <c r="B229" i="5"/>
  <c r="G228" i="5"/>
  <c r="F228" i="5"/>
  <c r="D228" i="5"/>
  <c r="C228" i="5"/>
  <c r="B228" i="5"/>
  <c r="E228" i="5" s="1"/>
  <c r="G227" i="5"/>
  <c r="F227" i="5"/>
  <c r="D227" i="5"/>
  <c r="C227" i="5"/>
  <c r="B227" i="5"/>
  <c r="E227" i="5" s="1"/>
  <c r="G226" i="5"/>
  <c r="F226" i="5"/>
  <c r="D226" i="5"/>
  <c r="C226" i="5"/>
  <c r="B226" i="5"/>
  <c r="E226" i="5" s="1"/>
  <c r="G225" i="5"/>
  <c r="F225" i="5"/>
  <c r="D225" i="5"/>
  <c r="C225" i="5"/>
  <c r="B225" i="5"/>
  <c r="E225" i="5" s="1"/>
  <c r="G224" i="5"/>
  <c r="F224" i="5"/>
  <c r="D224" i="5"/>
  <c r="C224" i="5"/>
  <c r="B224" i="5"/>
  <c r="E224" i="5" s="1"/>
  <c r="G223" i="5"/>
  <c r="F223" i="5"/>
  <c r="E223" i="5"/>
  <c r="D223" i="5"/>
  <c r="C223" i="5"/>
  <c r="B223" i="5"/>
  <c r="G222" i="5"/>
  <c r="F222" i="5"/>
  <c r="D222" i="5"/>
  <c r="C222" i="5"/>
  <c r="B222" i="5"/>
  <c r="E222" i="5" s="1"/>
  <c r="G221" i="5"/>
  <c r="F221" i="5"/>
  <c r="D221" i="5"/>
  <c r="C221" i="5"/>
  <c r="B221" i="5"/>
  <c r="E221" i="5" s="1"/>
  <c r="G220" i="5"/>
  <c r="F220" i="5"/>
  <c r="D220" i="5"/>
  <c r="C220" i="5"/>
  <c r="B220" i="5"/>
  <c r="E220" i="5" s="1"/>
  <c r="G219" i="5"/>
  <c r="F219" i="5"/>
  <c r="D219" i="5"/>
  <c r="C219" i="5"/>
  <c r="B219" i="5"/>
  <c r="E219" i="5" s="1"/>
  <c r="G218" i="5"/>
  <c r="F218" i="5"/>
  <c r="D218" i="5"/>
  <c r="C218" i="5"/>
  <c r="B218" i="5"/>
  <c r="E218" i="5" s="1"/>
  <c r="G217" i="5"/>
  <c r="F217" i="5"/>
  <c r="D217" i="5"/>
  <c r="C217" i="5"/>
  <c r="B217" i="5"/>
  <c r="E217" i="5" s="1"/>
  <c r="G216" i="5"/>
  <c r="F216" i="5"/>
  <c r="E216" i="5"/>
  <c r="D216" i="5"/>
  <c r="C216" i="5"/>
  <c r="B216" i="5"/>
  <c r="G215" i="5"/>
  <c r="F215" i="5"/>
  <c r="D215" i="5"/>
  <c r="C215" i="5"/>
  <c r="B215" i="5"/>
  <c r="E215" i="5" s="1"/>
  <c r="G214" i="5"/>
  <c r="F214" i="5"/>
  <c r="D214" i="5"/>
  <c r="C214" i="5"/>
  <c r="B214" i="5"/>
  <c r="E214" i="5" s="1"/>
  <c r="G213" i="5"/>
  <c r="F213" i="5"/>
  <c r="D213" i="5"/>
  <c r="C213" i="5"/>
  <c r="B213" i="5"/>
  <c r="E213" i="5" s="1"/>
  <c r="G212" i="5"/>
  <c r="F212" i="5"/>
  <c r="D212" i="5"/>
  <c r="C212" i="5"/>
  <c r="B212" i="5"/>
  <c r="E212" i="5" s="1"/>
  <c r="G211" i="5"/>
  <c r="F211" i="5"/>
  <c r="D211" i="5"/>
  <c r="C211" i="5"/>
  <c r="B211" i="5"/>
  <c r="E211" i="5" s="1"/>
  <c r="G210" i="5"/>
  <c r="F210" i="5"/>
  <c r="D210" i="5"/>
  <c r="C210" i="5"/>
  <c r="B210" i="5"/>
  <c r="E210" i="5" s="1"/>
  <c r="G209" i="5"/>
  <c r="F209" i="5"/>
  <c r="D209" i="5"/>
  <c r="C209" i="5"/>
  <c r="B209" i="5"/>
  <c r="E209" i="5" s="1"/>
  <c r="G208" i="5"/>
  <c r="F208" i="5"/>
  <c r="D208" i="5"/>
  <c r="C208" i="5"/>
  <c r="B208" i="5"/>
  <c r="E208" i="5" s="1"/>
  <c r="G207" i="5"/>
  <c r="F207" i="5"/>
  <c r="D207" i="5"/>
  <c r="C207" i="5"/>
  <c r="B207" i="5"/>
  <c r="E207" i="5" s="1"/>
  <c r="G206" i="5"/>
  <c r="F206" i="5"/>
  <c r="D206" i="5"/>
  <c r="C206" i="5"/>
  <c r="B206" i="5"/>
  <c r="E206" i="5" s="1"/>
  <c r="G205" i="5"/>
  <c r="F205" i="5"/>
  <c r="D205" i="5"/>
  <c r="C205" i="5"/>
  <c r="B205" i="5"/>
  <c r="E205" i="5" s="1"/>
  <c r="G204" i="5"/>
  <c r="F204" i="5"/>
  <c r="D204" i="5"/>
  <c r="C204" i="5"/>
  <c r="B204" i="5"/>
  <c r="E204" i="5" s="1"/>
  <c r="G203" i="5"/>
  <c r="F203" i="5"/>
  <c r="D203" i="5"/>
  <c r="C203" i="5"/>
  <c r="B203" i="5"/>
  <c r="E203" i="5" s="1"/>
  <c r="G202" i="5"/>
  <c r="F202" i="5"/>
  <c r="D202" i="5"/>
  <c r="C202" i="5"/>
  <c r="B202" i="5"/>
  <c r="E202" i="5" s="1"/>
  <c r="G201" i="5"/>
  <c r="F201" i="5"/>
  <c r="D201" i="5"/>
  <c r="C201" i="5"/>
  <c r="B201" i="5"/>
  <c r="E201" i="5" s="1"/>
  <c r="G200" i="5"/>
  <c r="F200" i="5"/>
  <c r="D200" i="5"/>
  <c r="C200" i="5"/>
  <c r="B200" i="5"/>
  <c r="E200" i="5" s="1"/>
  <c r="G199" i="5"/>
  <c r="F199" i="5"/>
  <c r="D199" i="5"/>
  <c r="C199" i="5"/>
  <c r="B199" i="5"/>
  <c r="E199" i="5" s="1"/>
  <c r="G198" i="5"/>
  <c r="F198" i="5"/>
  <c r="E198" i="5"/>
  <c r="D198" i="5"/>
  <c r="C198" i="5"/>
  <c r="B198" i="5"/>
  <c r="G197" i="5"/>
  <c r="F197" i="5"/>
  <c r="D197" i="5"/>
  <c r="C197" i="5"/>
  <c r="B197" i="5"/>
  <c r="E197" i="5" s="1"/>
  <c r="G196" i="5"/>
  <c r="F196" i="5"/>
  <c r="D196" i="5"/>
  <c r="C196" i="5"/>
  <c r="B196" i="5"/>
  <c r="E196" i="5" s="1"/>
  <c r="G195" i="5"/>
  <c r="F195" i="5"/>
  <c r="D195" i="5"/>
  <c r="C195" i="5"/>
  <c r="B195" i="5"/>
  <c r="E195" i="5" s="1"/>
  <c r="G194" i="5"/>
  <c r="F194" i="5"/>
  <c r="E194" i="5"/>
  <c r="D194" i="5"/>
  <c r="C194" i="5"/>
  <c r="B194" i="5"/>
  <c r="G193" i="5"/>
  <c r="F193" i="5"/>
  <c r="D193" i="5"/>
  <c r="C193" i="5"/>
  <c r="B193" i="5"/>
  <c r="E193" i="5" s="1"/>
  <c r="G192" i="5"/>
  <c r="F192" i="5"/>
  <c r="D192" i="5"/>
  <c r="C192" i="5"/>
  <c r="B192" i="5"/>
  <c r="E192" i="5" s="1"/>
  <c r="G191" i="5"/>
  <c r="F191" i="5"/>
  <c r="D191" i="5"/>
  <c r="C191" i="5"/>
  <c r="B191" i="5"/>
  <c r="E191" i="5" s="1"/>
  <c r="G190" i="5"/>
  <c r="F190" i="5"/>
  <c r="D190" i="5"/>
  <c r="C190" i="5"/>
  <c r="B190" i="5"/>
  <c r="E190" i="5" s="1"/>
  <c r="G189" i="5"/>
  <c r="F189" i="5"/>
  <c r="D189" i="5"/>
  <c r="C189" i="5"/>
  <c r="B189" i="5"/>
  <c r="E189" i="5" s="1"/>
  <c r="G188" i="5"/>
  <c r="F188" i="5"/>
  <c r="D188" i="5"/>
  <c r="C188" i="5"/>
  <c r="B188" i="5"/>
  <c r="E188" i="5" s="1"/>
  <c r="G187" i="5"/>
  <c r="F187" i="5"/>
  <c r="E187" i="5"/>
  <c r="D187" i="5"/>
  <c r="C187" i="5"/>
  <c r="B187" i="5"/>
  <c r="G186" i="5"/>
  <c r="F186" i="5"/>
  <c r="D186" i="5"/>
  <c r="C186" i="5"/>
  <c r="B186" i="5"/>
  <c r="E186" i="5" s="1"/>
  <c r="G185" i="5"/>
  <c r="F185" i="5"/>
  <c r="D185" i="5"/>
  <c r="C185" i="5"/>
  <c r="B185" i="5"/>
  <c r="E185" i="5" s="1"/>
  <c r="G184" i="5"/>
  <c r="F184" i="5"/>
  <c r="D184" i="5"/>
  <c r="C184" i="5"/>
  <c r="B184" i="5"/>
  <c r="E184" i="5" s="1"/>
  <c r="G183" i="5"/>
  <c r="F183" i="5"/>
  <c r="D183" i="5"/>
  <c r="C183" i="5"/>
  <c r="B183" i="5"/>
  <c r="E183" i="5" s="1"/>
  <c r="G182" i="5"/>
  <c r="F182" i="5"/>
  <c r="D182" i="5"/>
  <c r="C182" i="5"/>
  <c r="B182" i="5"/>
  <c r="E182" i="5" s="1"/>
  <c r="G181" i="5"/>
  <c r="F181" i="5"/>
  <c r="D181" i="5"/>
  <c r="C181" i="5"/>
  <c r="B181" i="5"/>
  <c r="E181" i="5" s="1"/>
  <c r="G180" i="5"/>
  <c r="F180" i="5"/>
  <c r="D180" i="5"/>
  <c r="C180" i="5"/>
  <c r="B180" i="5"/>
  <c r="E180" i="5" s="1"/>
  <c r="G179" i="5"/>
  <c r="F179" i="5"/>
  <c r="D179" i="5"/>
  <c r="C179" i="5"/>
  <c r="B179" i="5"/>
  <c r="E179" i="5" s="1"/>
  <c r="G178" i="5"/>
  <c r="F178" i="5"/>
  <c r="D178" i="5"/>
  <c r="C178" i="5"/>
  <c r="B178" i="5"/>
  <c r="E178" i="5" s="1"/>
  <c r="G177" i="5"/>
  <c r="F177" i="5"/>
  <c r="D177" i="5"/>
  <c r="C177" i="5"/>
  <c r="B177" i="5"/>
  <c r="E177" i="5" s="1"/>
  <c r="G176" i="5"/>
  <c r="F176" i="5"/>
  <c r="D176" i="5"/>
  <c r="C176" i="5"/>
  <c r="B176" i="5"/>
  <c r="E176" i="5" s="1"/>
  <c r="G175" i="5"/>
  <c r="F175" i="5"/>
  <c r="D175" i="5"/>
  <c r="C175" i="5"/>
  <c r="B175" i="5"/>
  <c r="E175" i="5" s="1"/>
  <c r="G174" i="5"/>
  <c r="F174" i="5"/>
  <c r="D174" i="5"/>
  <c r="C174" i="5"/>
  <c r="B174" i="5"/>
  <c r="E174" i="5" s="1"/>
  <c r="G173" i="5"/>
  <c r="F173" i="5"/>
  <c r="E173" i="5"/>
  <c r="D173" i="5"/>
  <c r="C173" i="5"/>
  <c r="B173" i="5"/>
  <c r="G172" i="5"/>
  <c r="F172" i="5"/>
  <c r="D172" i="5"/>
  <c r="C172" i="5"/>
  <c r="B172" i="5"/>
  <c r="E172" i="5" s="1"/>
  <c r="G171" i="5"/>
  <c r="F171" i="5"/>
  <c r="D171" i="5"/>
  <c r="C171" i="5"/>
  <c r="B171" i="5"/>
  <c r="E171" i="5" s="1"/>
  <c r="G170" i="5"/>
  <c r="F170" i="5"/>
  <c r="D170" i="5"/>
  <c r="C170" i="5"/>
  <c r="B170" i="5"/>
  <c r="E170" i="5" s="1"/>
  <c r="G169" i="5"/>
  <c r="F169" i="5"/>
  <c r="D169" i="5"/>
  <c r="C169" i="5"/>
  <c r="B169" i="5"/>
  <c r="E169" i="5" s="1"/>
  <c r="G168" i="5"/>
  <c r="F168" i="5"/>
  <c r="E168" i="5"/>
  <c r="D168" i="5"/>
  <c r="C168" i="5"/>
  <c r="B168" i="5"/>
  <c r="G167" i="5"/>
  <c r="F167" i="5"/>
  <c r="D167" i="5"/>
  <c r="C167" i="5"/>
  <c r="B167" i="5"/>
  <c r="E167" i="5" s="1"/>
  <c r="G166" i="5"/>
  <c r="F166" i="5"/>
  <c r="D166" i="5"/>
  <c r="C166" i="5"/>
  <c r="B166" i="5"/>
  <c r="E166" i="5" s="1"/>
  <c r="G165" i="5"/>
  <c r="F165" i="5"/>
  <c r="D165" i="5"/>
  <c r="C165" i="5"/>
  <c r="B165" i="5"/>
  <c r="E165" i="5" s="1"/>
  <c r="G164" i="5"/>
  <c r="F164" i="5"/>
  <c r="D164" i="5"/>
  <c r="C164" i="5"/>
  <c r="B164" i="5"/>
  <c r="E164" i="5" s="1"/>
  <c r="G163" i="5"/>
  <c r="F163" i="5"/>
  <c r="D163" i="5"/>
  <c r="C163" i="5"/>
  <c r="B163" i="5"/>
  <c r="E163" i="5" s="1"/>
  <c r="G162" i="5"/>
  <c r="F162" i="5"/>
  <c r="D162" i="5"/>
  <c r="C162" i="5"/>
  <c r="B162" i="5"/>
  <c r="E162" i="5" s="1"/>
  <c r="G161" i="5"/>
  <c r="F161" i="5"/>
  <c r="D161" i="5"/>
  <c r="C161" i="5"/>
  <c r="B161" i="5"/>
  <c r="E161" i="5" s="1"/>
  <c r="G160" i="5"/>
  <c r="F160" i="5"/>
  <c r="D160" i="5"/>
  <c r="C160" i="5"/>
  <c r="B160" i="5"/>
  <c r="E160" i="5" s="1"/>
  <c r="G159" i="5"/>
  <c r="F159" i="5"/>
  <c r="D159" i="5"/>
  <c r="C159" i="5"/>
  <c r="B159" i="5"/>
  <c r="E159" i="5" s="1"/>
  <c r="G158" i="5"/>
  <c r="F158" i="5"/>
  <c r="D158" i="5"/>
  <c r="C158" i="5"/>
  <c r="B158" i="5"/>
  <c r="E158" i="5" s="1"/>
  <c r="G157" i="5"/>
  <c r="F157" i="5"/>
  <c r="D157" i="5"/>
  <c r="C157" i="5"/>
  <c r="B157" i="5"/>
  <c r="E157" i="5" s="1"/>
  <c r="G156" i="5"/>
  <c r="F156" i="5"/>
  <c r="E156" i="5"/>
  <c r="D156" i="5"/>
  <c r="C156" i="5"/>
  <c r="B156" i="5"/>
  <c r="G155" i="5"/>
  <c r="F155" i="5"/>
  <c r="D155" i="5"/>
  <c r="C155" i="5"/>
  <c r="B155" i="5"/>
  <c r="E155" i="5" s="1"/>
  <c r="G154" i="5"/>
  <c r="F154" i="5"/>
  <c r="D154" i="5"/>
  <c r="C154" i="5"/>
  <c r="B154" i="5"/>
  <c r="E154" i="5" s="1"/>
  <c r="G153" i="5"/>
  <c r="F153" i="5"/>
  <c r="D153" i="5"/>
  <c r="C153" i="5"/>
  <c r="B153" i="5"/>
  <c r="E153" i="5" s="1"/>
  <c r="G152" i="5"/>
  <c r="F152" i="5"/>
  <c r="D152" i="5"/>
  <c r="C152" i="5"/>
  <c r="B152" i="5"/>
  <c r="E152" i="5" s="1"/>
  <c r="G151" i="5"/>
  <c r="F151" i="5"/>
  <c r="D151" i="5"/>
  <c r="C151" i="5"/>
  <c r="B151" i="5"/>
  <c r="E151" i="5" s="1"/>
  <c r="G150" i="5"/>
  <c r="F150" i="5"/>
  <c r="D150" i="5"/>
  <c r="C150" i="5"/>
  <c r="B150" i="5"/>
  <c r="E150" i="5" s="1"/>
  <c r="G149" i="5"/>
  <c r="F149" i="5"/>
  <c r="E149" i="5"/>
  <c r="D149" i="5"/>
  <c r="C149" i="5"/>
  <c r="B149" i="5"/>
  <c r="G148" i="5"/>
  <c r="F148" i="5"/>
  <c r="D148" i="5"/>
  <c r="C148" i="5"/>
  <c r="B148" i="5"/>
  <c r="E148" i="5" s="1"/>
  <c r="G147" i="5"/>
  <c r="F147" i="5"/>
  <c r="E147" i="5"/>
  <c r="D147" i="5"/>
  <c r="C147" i="5"/>
  <c r="B147" i="5"/>
  <c r="G146" i="5"/>
  <c r="F146" i="5"/>
  <c r="D146" i="5"/>
  <c r="C146" i="5"/>
  <c r="B146" i="5"/>
  <c r="E146" i="5" s="1"/>
  <c r="G145" i="5"/>
  <c r="F145" i="5"/>
  <c r="D145" i="5"/>
  <c r="C145" i="5"/>
  <c r="B145" i="5"/>
  <c r="E145" i="5" s="1"/>
  <c r="G144" i="5"/>
  <c r="F144" i="5"/>
  <c r="D144" i="5"/>
  <c r="C144" i="5"/>
  <c r="B144" i="5"/>
  <c r="E144" i="5" s="1"/>
  <c r="G143" i="5"/>
  <c r="F143" i="5"/>
  <c r="D143" i="5"/>
  <c r="C143" i="5"/>
  <c r="B143" i="5"/>
  <c r="E143" i="5" s="1"/>
  <c r="G142" i="5"/>
  <c r="F142" i="5"/>
  <c r="D142" i="5"/>
  <c r="C142" i="5"/>
  <c r="B142" i="5"/>
  <c r="E142" i="5" s="1"/>
  <c r="G141" i="5"/>
  <c r="F141" i="5"/>
  <c r="E141" i="5"/>
  <c r="D141" i="5"/>
  <c r="C141" i="5"/>
  <c r="B141" i="5"/>
  <c r="G140" i="5"/>
  <c r="F140" i="5"/>
  <c r="D140" i="5"/>
  <c r="C140" i="5"/>
  <c r="B140" i="5"/>
  <c r="E140" i="5" s="1"/>
  <c r="G139" i="5"/>
  <c r="F139" i="5"/>
  <c r="D139" i="5"/>
  <c r="C139" i="5"/>
  <c r="B139" i="5"/>
  <c r="E139" i="5" s="1"/>
  <c r="G138" i="5"/>
  <c r="F138" i="5"/>
  <c r="D138" i="5"/>
  <c r="C138" i="5"/>
  <c r="B138" i="5"/>
  <c r="E138" i="5" s="1"/>
  <c r="G137" i="5"/>
  <c r="F137" i="5"/>
  <c r="D137" i="5"/>
  <c r="C137" i="5"/>
  <c r="B137" i="5"/>
  <c r="E137" i="5" s="1"/>
  <c r="G136" i="5"/>
  <c r="F136" i="5"/>
  <c r="E136" i="5"/>
  <c r="D136" i="5"/>
  <c r="C136" i="5"/>
  <c r="B136" i="5"/>
  <c r="G135" i="5"/>
  <c r="F135" i="5"/>
  <c r="D135" i="5"/>
  <c r="C135" i="5"/>
  <c r="B135" i="5"/>
  <c r="E135" i="5" s="1"/>
  <c r="G134" i="5"/>
  <c r="F134" i="5"/>
  <c r="D134" i="5"/>
  <c r="C134" i="5"/>
  <c r="B134" i="5"/>
  <c r="E134" i="5" s="1"/>
  <c r="G133" i="5"/>
  <c r="F133" i="5"/>
  <c r="D133" i="5"/>
  <c r="C133" i="5"/>
  <c r="B133" i="5"/>
  <c r="E133" i="5" s="1"/>
  <c r="G132" i="5"/>
  <c r="F132" i="5"/>
  <c r="D132" i="5"/>
  <c r="C132" i="5"/>
  <c r="B132" i="5"/>
  <c r="E132" i="5" s="1"/>
  <c r="G131" i="5"/>
  <c r="F131" i="5"/>
  <c r="D131" i="5"/>
  <c r="C131" i="5"/>
  <c r="B131" i="5"/>
  <c r="E131" i="5" s="1"/>
  <c r="G130" i="5"/>
  <c r="F130" i="5"/>
  <c r="D130" i="5"/>
  <c r="C130" i="5"/>
  <c r="B130" i="5"/>
  <c r="E130" i="5" s="1"/>
  <c r="G129" i="5"/>
  <c r="F129" i="5"/>
  <c r="D129" i="5"/>
  <c r="C129" i="5"/>
  <c r="B129" i="5"/>
  <c r="E129" i="5" s="1"/>
  <c r="G128" i="5"/>
  <c r="F128" i="5"/>
  <c r="D128" i="5"/>
  <c r="C128" i="5"/>
  <c r="B128" i="5"/>
  <c r="E128" i="5" s="1"/>
  <c r="G127" i="5"/>
  <c r="F127" i="5"/>
  <c r="D127" i="5"/>
  <c r="C127" i="5"/>
  <c r="B127" i="5"/>
  <c r="E127" i="5" s="1"/>
  <c r="G126" i="5"/>
  <c r="F126" i="5"/>
  <c r="D126" i="5"/>
  <c r="C126" i="5"/>
  <c r="B126" i="5"/>
  <c r="E126" i="5" s="1"/>
  <c r="G125" i="5"/>
  <c r="F125" i="5"/>
  <c r="D125" i="5"/>
  <c r="C125" i="5"/>
  <c r="B125" i="5"/>
  <c r="E125" i="5" s="1"/>
  <c r="G124" i="5"/>
  <c r="F124" i="5"/>
  <c r="D124" i="5"/>
  <c r="C124" i="5"/>
  <c r="B124" i="5"/>
  <c r="E124" i="5" s="1"/>
  <c r="G123" i="5"/>
  <c r="F123" i="5"/>
  <c r="E123" i="5"/>
  <c r="D123" i="5"/>
  <c r="C123" i="5"/>
  <c r="B123" i="5"/>
  <c r="G122" i="5"/>
  <c r="F122" i="5"/>
  <c r="D122" i="5"/>
  <c r="C122" i="5"/>
  <c r="B122" i="5"/>
  <c r="E122" i="5" s="1"/>
  <c r="G121" i="5"/>
  <c r="F121" i="5"/>
  <c r="D121" i="5"/>
  <c r="C121" i="5"/>
  <c r="B121" i="5"/>
  <c r="E121" i="5" s="1"/>
  <c r="G120" i="5"/>
  <c r="F120" i="5"/>
  <c r="D120" i="5"/>
  <c r="C120" i="5"/>
  <c r="B120" i="5"/>
  <c r="E120" i="5" s="1"/>
  <c r="G119" i="5"/>
  <c r="F119" i="5"/>
  <c r="D119" i="5"/>
  <c r="C119" i="5"/>
  <c r="B119" i="5"/>
  <c r="E119" i="5" s="1"/>
  <c r="G118" i="5"/>
  <c r="F118" i="5"/>
  <c r="D118" i="5"/>
  <c r="C118" i="5"/>
  <c r="B118" i="5"/>
  <c r="E118" i="5" s="1"/>
  <c r="G117" i="5"/>
  <c r="F117" i="5"/>
  <c r="E117" i="5"/>
  <c r="D117" i="5"/>
  <c r="C117" i="5"/>
  <c r="B117" i="5"/>
  <c r="G116" i="5"/>
  <c r="F116" i="5"/>
  <c r="D116" i="5"/>
  <c r="C116" i="5"/>
  <c r="B116" i="5"/>
  <c r="E116" i="5" s="1"/>
  <c r="G115" i="5"/>
  <c r="F115" i="5"/>
  <c r="D115" i="5"/>
  <c r="C115" i="5"/>
  <c r="B115" i="5"/>
  <c r="E115" i="5" s="1"/>
  <c r="G114" i="5"/>
  <c r="F114" i="5"/>
  <c r="D114" i="5"/>
  <c r="C114" i="5"/>
  <c r="B114" i="5"/>
  <c r="E114" i="5" s="1"/>
  <c r="G113" i="5"/>
  <c r="F113" i="5"/>
  <c r="D113" i="5"/>
  <c r="C113" i="5"/>
  <c r="B113" i="5"/>
  <c r="E113" i="5" s="1"/>
  <c r="G112" i="5"/>
  <c r="F112" i="5"/>
  <c r="D112" i="5"/>
  <c r="C112" i="5"/>
  <c r="B112" i="5"/>
  <c r="E112" i="5" s="1"/>
  <c r="G111" i="5"/>
  <c r="F111" i="5"/>
  <c r="E111" i="5"/>
  <c r="D111" i="5"/>
  <c r="C111" i="5"/>
  <c r="B111" i="5"/>
  <c r="G110" i="5"/>
  <c r="F110" i="5"/>
  <c r="D110" i="5"/>
  <c r="C110" i="5"/>
  <c r="B110" i="5"/>
  <c r="E110" i="5" s="1"/>
  <c r="G109" i="5"/>
  <c r="F109" i="5"/>
  <c r="D109" i="5"/>
  <c r="C109" i="5"/>
  <c r="B109" i="5"/>
  <c r="E109" i="5" s="1"/>
  <c r="G108" i="5"/>
  <c r="F108" i="5"/>
  <c r="D108" i="5"/>
  <c r="C108" i="5"/>
  <c r="B108" i="5"/>
  <c r="E108" i="5" s="1"/>
  <c r="G107" i="5"/>
  <c r="F107" i="5"/>
  <c r="D107" i="5"/>
  <c r="C107" i="5"/>
  <c r="B107" i="5"/>
  <c r="E107" i="5" s="1"/>
  <c r="G106" i="5"/>
  <c r="F106" i="5"/>
  <c r="D106" i="5"/>
  <c r="C106" i="5"/>
  <c r="B106" i="5"/>
  <c r="E106" i="5" s="1"/>
  <c r="G105" i="5"/>
  <c r="F105" i="5"/>
  <c r="D105" i="5"/>
  <c r="C105" i="5"/>
  <c r="B105" i="5"/>
  <c r="E105" i="5" s="1"/>
  <c r="G104" i="5"/>
  <c r="F104" i="5"/>
  <c r="D104" i="5"/>
  <c r="C104" i="5"/>
  <c r="B104" i="5"/>
  <c r="E104" i="5" s="1"/>
  <c r="G103" i="5"/>
  <c r="F103" i="5"/>
  <c r="D103" i="5"/>
  <c r="C103" i="5"/>
  <c r="B103" i="5"/>
  <c r="E103" i="5" s="1"/>
  <c r="G102" i="5"/>
  <c r="F102" i="5"/>
  <c r="D102" i="5"/>
  <c r="C102" i="5"/>
  <c r="B102" i="5"/>
  <c r="E102" i="5" s="1"/>
  <c r="G101" i="5"/>
  <c r="F101" i="5"/>
  <c r="E101" i="5"/>
  <c r="D101" i="5"/>
  <c r="C101" i="5"/>
  <c r="B101" i="5"/>
  <c r="G100" i="5"/>
  <c r="F100" i="5"/>
  <c r="D100" i="5"/>
  <c r="C100" i="5"/>
  <c r="B100" i="5"/>
  <c r="E100" i="5" s="1"/>
  <c r="G99" i="5"/>
  <c r="F99" i="5"/>
  <c r="D99" i="5"/>
  <c r="C99" i="5"/>
  <c r="B99" i="5"/>
  <c r="E99" i="5" s="1"/>
  <c r="G98" i="5"/>
  <c r="F98" i="5"/>
  <c r="D98" i="5"/>
  <c r="C98" i="5"/>
  <c r="B98" i="5"/>
  <c r="E98" i="5" s="1"/>
  <c r="G97" i="5"/>
  <c r="F97" i="5"/>
  <c r="E97" i="5"/>
  <c r="D97" i="5"/>
  <c r="C97" i="5"/>
  <c r="B97" i="5"/>
  <c r="G96" i="5"/>
  <c r="F96" i="5"/>
  <c r="D96" i="5"/>
  <c r="C96" i="5"/>
  <c r="B96" i="5"/>
  <c r="E96" i="5" s="1"/>
  <c r="G95" i="5"/>
  <c r="F95" i="5"/>
  <c r="D95" i="5"/>
  <c r="C95" i="5"/>
  <c r="B95" i="5"/>
  <c r="E95" i="5" s="1"/>
  <c r="G94" i="5"/>
  <c r="F94" i="5"/>
  <c r="E94" i="5"/>
  <c r="D94" i="5"/>
  <c r="C94" i="5"/>
  <c r="B94" i="5"/>
  <c r="G93" i="5"/>
  <c r="F93" i="5"/>
  <c r="D93" i="5"/>
  <c r="C93" i="5"/>
  <c r="B93" i="5"/>
  <c r="E93" i="5" s="1"/>
  <c r="G92" i="5"/>
  <c r="F92" i="5"/>
  <c r="D92" i="5"/>
  <c r="C92" i="5"/>
  <c r="B92" i="5"/>
  <c r="E92" i="5" s="1"/>
  <c r="G91" i="5"/>
  <c r="F91" i="5"/>
  <c r="D91" i="5"/>
  <c r="C91" i="5"/>
  <c r="B91" i="5"/>
  <c r="E91" i="5" s="1"/>
  <c r="G90" i="5"/>
  <c r="F90" i="5"/>
  <c r="D90" i="5"/>
  <c r="C90" i="5"/>
  <c r="B90" i="5"/>
  <c r="E90" i="5" s="1"/>
  <c r="G89" i="5"/>
  <c r="F89" i="5"/>
  <c r="D89" i="5"/>
  <c r="C89" i="5"/>
  <c r="B89" i="5"/>
  <c r="E89" i="5" s="1"/>
  <c r="G88" i="5"/>
  <c r="F88" i="5"/>
  <c r="D88" i="5"/>
  <c r="C88" i="5"/>
  <c r="B88" i="5"/>
  <c r="E88" i="5" s="1"/>
  <c r="G87" i="5"/>
  <c r="F87" i="5"/>
  <c r="D87" i="5"/>
  <c r="C87" i="5"/>
  <c r="B87" i="5"/>
  <c r="E87" i="5" s="1"/>
  <c r="G86" i="5"/>
  <c r="F86" i="5"/>
  <c r="D86" i="5"/>
  <c r="C86" i="5"/>
  <c r="B86" i="5"/>
  <c r="E86" i="5" s="1"/>
  <c r="G85" i="5"/>
  <c r="F85" i="5"/>
  <c r="D85" i="5"/>
  <c r="C85" i="5"/>
  <c r="B85" i="5"/>
  <c r="E85" i="5" s="1"/>
  <c r="G84" i="5"/>
  <c r="F84" i="5"/>
  <c r="D84" i="5"/>
  <c r="C84" i="5"/>
  <c r="B84" i="5"/>
  <c r="E84" i="5" s="1"/>
  <c r="G83" i="5"/>
  <c r="F83" i="5"/>
  <c r="D83" i="5"/>
  <c r="C83" i="5"/>
  <c r="B83" i="5"/>
  <c r="E83" i="5" s="1"/>
  <c r="G82" i="5"/>
  <c r="F82" i="5"/>
  <c r="D82" i="5"/>
  <c r="C82" i="5"/>
  <c r="B82" i="5"/>
  <c r="E82" i="5" s="1"/>
  <c r="G81" i="5"/>
  <c r="F81" i="5"/>
  <c r="D81" i="5"/>
  <c r="C81" i="5"/>
  <c r="B81" i="5"/>
  <c r="E81" i="5" s="1"/>
  <c r="G80" i="5"/>
  <c r="F80" i="5"/>
  <c r="D80" i="5"/>
  <c r="C80" i="5"/>
  <c r="B80" i="5"/>
  <c r="E80" i="5" s="1"/>
  <c r="G79" i="5"/>
  <c r="F79" i="5"/>
  <c r="E79" i="5"/>
  <c r="D79" i="5"/>
  <c r="C79" i="5"/>
  <c r="B79" i="5"/>
  <c r="G78" i="5"/>
  <c r="F78" i="5"/>
  <c r="D78" i="5"/>
  <c r="C78" i="5"/>
  <c r="B78" i="5"/>
  <c r="E78" i="5" s="1"/>
  <c r="G77" i="5"/>
  <c r="F77" i="5"/>
  <c r="E77" i="5"/>
  <c r="D77" i="5"/>
  <c r="C77" i="5"/>
  <c r="B77" i="5"/>
  <c r="G76" i="5"/>
  <c r="F76" i="5"/>
  <c r="D76" i="5"/>
  <c r="C76" i="5"/>
  <c r="B76" i="5"/>
  <c r="E76" i="5" s="1"/>
  <c r="G75" i="5"/>
  <c r="F75" i="5"/>
  <c r="D75" i="5"/>
  <c r="C75" i="5"/>
  <c r="B75" i="5"/>
  <c r="E75" i="5" s="1"/>
  <c r="G74" i="5"/>
  <c r="F74" i="5"/>
  <c r="D74" i="5"/>
  <c r="C74" i="5"/>
  <c r="B74" i="5"/>
  <c r="E74" i="5" s="1"/>
  <c r="G73" i="5"/>
  <c r="F73" i="5"/>
  <c r="D73" i="5"/>
  <c r="C73" i="5"/>
  <c r="B73" i="5"/>
  <c r="E73" i="5" s="1"/>
  <c r="G72" i="5"/>
  <c r="F72" i="5"/>
  <c r="D72" i="5"/>
  <c r="C72" i="5"/>
  <c r="B72" i="5"/>
  <c r="E72" i="5" s="1"/>
  <c r="G71" i="5"/>
  <c r="F71" i="5"/>
  <c r="D71" i="5"/>
  <c r="C71" i="5"/>
  <c r="B71" i="5"/>
  <c r="E71" i="5" s="1"/>
  <c r="G70" i="5"/>
  <c r="F70" i="5"/>
  <c r="D70" i="5"/>
  <c r="C70" i="5"/>
  <c r="B70" i="5"/>
  <c r="E70" i="5" s="1"/>
  <c r="G69" i="5"/>
  <c r="F69" i="5"/>
  <c r="D69" i="5"/>
  <c r="C69" i="5"/>
  <c r="B69" i="5"/>
  <c r="E69" i="5" s="1"/>
  <c r="G68" i="5"/>
  <c r="F68" i="5"/>
  <c r="D68" i="5"/>
  <c r="C68" i="5"/>
  <c r="B68" i="5"/>
  <c r="E68" i="5" s="1"/>
  <c r="G67" i="5"/>
  <c r="F67" i="5"/>
  <c r="E67" i="5"/>
  <c r="D67" i="5"/>
  <c r="C67" i="5"/>
  <c r="B67" i="5"/>
  <c r="G66" i="5"/>
  <c r="F66" i="5"/>
  <c r="D66" i="5"/>
  <c r="C66" i="5"/>
  <c r="B66" i="5"/>
  <c r="E66" i="5" s="1"/>
  <c r="G65" i="5"/>
  <c r="F65" i="5"/>
  <c r="D65" i="5"/>
  <c r="C65" i="5"/>
  <c r="B65" i="5"/>
  <c r="E65" i="5" s="1"/>
  <c r="G64" i="5"/>
  <c r="F64" i="5"/>
  <c r="D64" i="5"/>
  <c r="C64" i="5"/>
  <c r="B64" i="5"/>
  <c r="E64" i="5" s="1"/>
  <c r="G63" i="5"/>
  <c r="F63" i="5"/>
  <c r="D63" i="5"/>
  <c r="C63" i="5"/>
  <c r="B63" i="5"/>
  <c r="E63" i="5" s="1"/>
  <c r="G62" i="5"/>
  <c r="F62" i="5"/>
  <c r="D62" i="5"/>
  <c r="C62" i="5"/>
  <c r="B62" i="5"/>
  <c r="E62" i="5" s="1"/>
  <c r="G61" i="5"/>
  <c r="F61" i="5"/>
  <c r="D61" i="5"/>
  <c r="C61" i="5"/>
  <c r="B61" i="5"/>
  <c r="E61" i="5" s="1"/>
  <c r="G60" i="5"/>
  <c r="F60" i="5"/>
  <c r="D60" i="5"/>
  <c r="C60" i="5"/>
  <c r="B60" i="5"/>
  <c r="E60" i="5" s="1"/>
  <c r="G59" i="5"/>
  <c r="F59" i="5"/>
  <c r="E59" i="5"/>
  <c r="D59" i="5"/>
  <c r="C59" i="5"/>
  <c r="B59" i="5"/>
  <c r="G58" i="5"/>
  <c r="F58" i="5"/>
  <c r="D58" i="5"/>
  <c r="C58" i="5"/>
  <c r="B58" i="5"/>
  <c r="E58" i="5" s="1"/>
  <c r="G57" i="5"/>
  <c r="F57" i="5"/>
  <c r="D57" i="5"/>
  <c r="C57" i="5"/>
  <c r="B57" i="5"/>
  <c r="E57" i="5" s="1"/>
  <c r="G56" i="5"/>
  <c r="F56" i="5"/>
  <c r="E56" i="5"/>
  <c r="D56" i="5"/>
  <c r="C56" i="5"/>
  <c r="B56" i="5"/>
  <c r="G55" i="5"/>
  <c r="F55" i="5"/>
  <c r="D55" i="5"/>
  <c r="C55" i="5"/>
  <c r="B55" i="5"/>
  <c r="E55" i="5" s="1"/>
  <c r="G54" i="5"/>
  <c r="F54" i="5"/>
  <c r="D54" i="5"/>
  <c r="C54" i="5"/>
  <c r="B54" i="5"/>
  <c r="E54" i="5" s="1"/>
  <c r="G53" i="5"/>
  <c r="F53" i="5"/>
  <c r="D53" i="5"/>
  <c r="C53" i="5"/>
  <c r="B53" i="5"/>
  <c r="E53" i="5" s="1"/>
  <c r="G52" i="5"/>
  <c r="F52" i="5"/>
  <c r="D52" i="5"/>
  <c r="C52" i="5"/>
  <c r="B52" i="5"/>
  <c r="E52" i="5" s="1"/>
  <c r="G51" i="5"/>
  <c r="F51" i="5"/>
  <c r="D51" i="5"/>
  <c r="C51" i="5"/>
  <c r="B51" i="5"/>
  <c r="E51" i="5" s="1"/>
  <c r="G50" i="5"/>
  <c r="F50" i="5"/>
  <c r="D50" i="5"/>
  <c r="C50" i="5"/>
  <c r="B50" i="5"/>
  <c r="E50" i="5" s="1"/>
  <c r="G49" i="5"/>
  <c r="F49" i="5"/>
  <c r="D49" i="5"/>
  <c r="C49" i="5"/>
  <c r="B49" i="5"/>
  <c r="E49" i="5" s="1"/>
  <c r="G48" i="5"/>
  <c r="F48" i="5"/>
  <c r="E48" i="5"/>
  <c r="D48" i="5"/>
  <c r="C48" i="5"/>
  <c r="B48" i="5"/>
  <c r="G47" i="5"/>
  <c r="F47" i="5"/>
  <c r="E47" i="5"/>
  <c r="D47" i="5"/>
  <c r="C47" i="5"/>
  <c r="B47" i="5"/>
  <c r="G46" i="5"/>
  <c r="F46" i="5"/>
  <c r="D46" i="5"/>
  <c r="C46" i="5"/>
  <c r="B46" i="5"/>
  <c r="E46" i="5" s="1"/>
  <c r="G45" i="5"/>
  <c r="F45" i="5"/>
  <c r="D45" i="5"/>
  <c r="C45" i="5"/>
  <c r="B45" i="5"/>
  <c r="E45" i="5" s="1"/>
  <c r="G44" i="5"/>
  <c r="F44" i="5"/>
  <c r="D44" i="5"/>
  <c r="C44" i="5"/>
  <c r="B44" i="5"/>
  <c r="E44" i="5" s="1"/>
  <c r="G43" i="5"/>
  <c r="F43" i="5"/>
  <c r="D43" i="5"/>
  <c r="C43" i="5"/>
  <c r="B43" i="5"/>
  <c r="E43" i="5" s="1"/>
  <c r="G42" i="5"/>
  <c r="F42" i="5"/>
  <c r="E42" i="5"/>
  <c r="D42" i="5"/>
  <c r="C42" i="5"/>
  <c r="B42" i="5"/>
  <c r="G41" i="5"/>
  <c r="F41" i="5"/>
  <c r="D41" i="5"/>
  <c r="C41" i="5"/>
  <c r="B41" i="5"/>
  <c r="E41" i="5" s="1"/>
  <c r="G40" i="5"/>
  <c r="F40" i="5"/>
  <c r="D40" i="5"/>
  <c r="C40" i="5"/>
  <c r="B40" i="5"/>
  <c r="E40" i="5" s="1"/>
  <c r="G39" i="5"/>
  <c r="F39" i="5"/>
  <c r="D39" i="5"/>
  <c r="C39" i="5"/>
  <c r="B39" i="5"/>
  <c r="E39" i="5" s="1"/>
  <c r="G38" i="5"/>
  <c r="F38" i="5"/>
  <c r="D38" i="5"/>
  <c r="C38" i="5"/>
  <c r="B38" i="5"/>
  <c r="E38" i="5" s="1"/>
  <c r="G37" i="5"/>
  <c r="F37" i="5"/>
  <c r="D37" i="5"/>
  <c r="C37" i="5"/>
  <c r="B37" i="5"/>
  <c r="E37" i="5" s="1"/>
  <c r="G36" i="5"/>
  <c r="F36" i="5"/>
  <c r="D36" i="5"/>
  <c r="C36" i="5"/>
  <c r="B36" i="5"/>
  <c r="E36" i="5" s="1"/>
  <c r="G35" i="5"/>
  <c r="F35" i="5"/>
  <c r="D35" i="5"/>
  <c r="C35" i="5"/>
  <c r="B35" i="5"/>
  <c r="E35" i="5" s="1"/>
  <c r="G34" i="5"/>
  <c r="F34" i="5"/>
  <c r="D34" i="5"/>
  <c r="C34" i="5"/>
  <c r="B34" i="5"/>
  <c r="E34" i="5" s="1"/>
  <c r="G33" i="5"/>
  <c r="F33" i="5"/>
  <c r="D33" i="5"/>
  <c r="C33" i="5"/>
  <c r="B33" i="5"/>
  <c r="E33" i="5" s="1"/>
  <c r="G32" i="5"/>
  <c r="F32" i="5"/>
  <c r="D32" i="5"/>
  <c r="C32" i="5"/>
  <c r="B32" i="5"/>
  <c r="E32" i="5" s="1"/>
  <c r="G31" i="5"/>
  <c r="F31" i="5"/>
  <c r="D31" i="5"/>
  <c r="C31" i="5"/>
  <c r="B31" i="5"/>
  <c r="E31" i="5" s="1"/>
  <c r="G30" i="5"/>
  <c r="F30" i="5"/>
  <c r="D30" i="5"/>
  <c r="C30" i="5"/>
  <c r="B30" i="5"/>
  <c r="E30" i="5" s="1"/>
  <c r="G29" i="5"/>
  <c r="F29" i="5"/>
  <c r="D29" i="5"/>
  <c r="C29" i="5"/>
  <c r="B29" i="5"/>
  <c r="E29" i="5" s="1"/>
  <c r="G28" i="5"/>
  <c r="F28" i="5"/>
  <c r="D28" i="5"/>
  <c r="C28" i="5"/>
  <c r="B28" i="5"/>
  <c r="E28" i="5" s="1"/>
  <c r="G27" i="5"/>
  <c r="F27" i="5"/>
  <c r="D27" i="5"/>
  <c r="C27" i="5"/>
  <c r="B27" i="5"/>
  <c r="E27" i="5" s="1"/>
  <c r="G26" i="5"/>
  <c r="F26" i="5"/>
  <c r="D26" i="5"/>
  <c r="C26" i="5"/>
  <c r="B26" i="5"/>
  <c r="E26" i="5" s="1"/>
  <c r="G25" i="5"/>
  <c r="F25" i="5"/>
  <c r="D25" i="5"/>
  <c r="C25" i="5"/>
  <c r="B25" i="5"/>
  <c r="E25" i="5" s="1"/>
  <c r="G24" i="5"/>
  <c r="F24" i="5"/>
  <c r="D24" i="5"/>
  <c r="C24" i="5"/>
  <c r="B24" i="5"/>
  <c r="E24" i="5" s="1"/>
  <c r="G23" i="5"/>
  <c r="F23" i="5"/>
  <c r="D23" i="5"/>
  <c r="C23" i="5"/>
  <c r="B23" i="5"/>
  <c r="E23" i="5" s="1"/>
  <c r="G22" i="5"/>
  <c r="F22" i="5"/>
  <c r="D22" i="5"/>
  <c r="C22" i="5"/>
  <c r="B22" i="5"/>
  <c r="E22" i="5" s="1"/>
  <c r="G21" i="5"/>
  <c r="F21" i="5"/>
  <c r="D21" i="5"/>
  <c r="C21" i="5"/>
  <c r="B21" i="5"/>
  <c r="E21" i="5" s="1"/>
  <c r="G20" i="5"/>
  <c r="F20" i="5"/>
  <c r="D20" i="5"/>
  <c r="C20" i="5"/>
  <c r="B20" i="5"/>
  <c r="E20" i="5" s="1"/>
  <c r="G19" i="5"/>
  <c r="F19" i="5"/>
  <c r="D19" i="5"/>
  <c r="C19" i="5"/>
  <c r="B19" i="5"/>
  <c r="E19" i="5" s="1"/>
  <c r="G18" i="5"/>
  <c r="F18" i="5"/>
  <c r="D18" i="5"/>
  <c r="C18" i="5"/>
  <c r="B18" i="5"/>
  <c r="E18" i="5" s="1"/>
  <c r="G17" i="5"/>
  <c r="F17" i="5"/>
  <c r="D17" i="5"/>
  <c r="C17" i="5"/>
  <c r="B17" i="5"/>
  <c r="E17" i="5" s="1"/>
  <c r="G16" i="5"/>
  <c r="F16" i="5"/>
  <c r="D16" i="5"/>
  <c r="C16" i="5"/>
  <c r="B16" i="5"/>
  <c r="E16" i="5" s="1"/>
  <c r="G15" i="5"/>
  <c r="F15" i="5"/>
  <c r="D15" i="5"/>
  <c r="C15" i="5"/>
  <c r="B15" i="5"/>
  <c r="E15" i="5" s="1"/>
  <c r="G14" i="5"/>
  <c r="F14" i="5"/>
  <c r="D14" i="5"/>
  <c r="C14" i="5"/>
  <c r="B14" i="5"/>
  <c r="E14" i="5" s="1"/>
  <c r="G13" i="5"/>
  <c r="F13" i="5"/>
  <c r="E13" i="5"/>
  <c r="D13" i="5"/>
  <c r="C13" i="5"/>
  <c r="B13" i="5"/>
  <c r="G12" i="5"/>
  <c r="F12" i="5"/>
  <c r="D12" i="5"/>
  <c r="C12" i="5"/>
  <c r="B12" i="5"/>
  <c r="E12" i="5" s="1"/>
  <c r="G11" i="5"/>
  <c r="F11" i="5"/>
  <c r="D11" i="5"/>
  <c r="C11" i="5"/>
  <c r="B11" i="5"/>
  <c r="E11" i="5" s="1"/>
  <c r="G10" i="5"/>
  <c r="F10" i="5"/>
  <c r="D10" i="5"/>
  <c r="C10" i="5"/>
  <c r="B10" i="5"/>
  <c r="E10" i="5" s="1"/>
  <c r="G9" i="5"/>
  <c r="F9" i="5"/>
  <c r="D9" i="5"/>
  <c r="C9" i="5"/>
  <c r="B9" i="5"/>
  <c r="E9" i="5" s="1"/>
  <c r="G8" i="5"/>
  <c r="F8" i="5"/>
  <c r="D8" i="5"/>
  <c r="C8" i="5"/>
  <c r="B8" i="5"/>
  <c r="E8" i="5" s="1"/>
  <c r="G7" i="5"/>
  <c r="F7" i="5"/>
  <c r="D7" i="5"/>
  <c r="C7" i="5"/>
  <c r="B7" i="5"/>
  <c r="E7" i="5" s="1"/>
  <c r="F5" i="5"/>
  <c r="D5" i="5"/>
  <c r="C5" i="5"/>
  <c r="B5" i="5"/>
  <c r="E5" i="5" s="1"/>
  <c r="F4" i="5"/>
  <c r="D4" i="5"/>
  <c r="C4" i="5"/>
  <c r="B4" i="5"/>
  <c r="E4" i="5" s="1"/>
  <c r="F3" i="5"/>
  <c r="D3" i="5"/>
  <c r="C3" i="5"/>
  <c r="B3" i="5"/>
  <c r="E3" i="5" s="1"/>
  <c r="D35" i="4"/>
  <c r="C35" i="4"/>
  <c r="F35" i="4" s="1"/>
  <c r="D34" i="4"/>
  <c r="C34" i="4"/>
  <c r="G34" i="4" s="1"/>
  <c r="D33" i="4"/>
  <c r="C33" i="4"/>
  <c r="G33" i="4" s="1"/>
  <c r="D32" i="4"/>
  <c r="C32" i="4"/>
  <c r="G32" i="4" s="1"/>
  <c r="D31" i="4"/>
  <c r="C31" i="4"/>
  <c r="E31" i="4" s="1"/>
  <c r="D30" i="4"/>
  <c r="C30" i="4"/>
  <c r="G30" i="4" s="1"/>
  <c r="D29" i="4"/>
  <c r="C29" i="4"/>
  <c r="E29" i="4" s="1"/>
  <c r="D28" i="4"/>
  <c r="C28" i="4"/>
  <c r="G28" i="4" s="1"/>
  <c r="D27" i="4"/>
  <c r="C27" i="4"/>
  <c r="G27" i="4" s="1"/>
  <c r="D26" i="4"/>
  <c r="C26" i="4"/>
  <c r="F26" i="4" s="1"/>
  <c r="C21" i="4"/>
  <c r="E21" i="4" s="1"/>
  <c r="C20" i="4"/>
  <c r="D20" i="4" s="1"/>
  <c r="C19" i="4"/>
  <c r="E18" i="4"/>
  <c r="C18" i="4"/>
  <c r="D18" i="4" s="1"/>
  <c r="C17" i="4"/>
  <c r="D17" i="4" s="1"/>
  <c r="C16" i="4"/>
  <c r="E16" i="4" s="1"/>
  <c r="C10" i="4"/>
  <c r="E81" i="3"/>
  <c r="E80" i="3"/>
  <c r="E77" i="3"/>
  <c r="C75" i="3"/>
  <c r="C74" i="3"/>
  <c r="C73" i="3"/>
  <c r="C72" i="3"/>
  <c r="C71" i="3"/>
  <c r="C70" i="3"/>
  <c r="C69" i="3"/>
  <c r="C68" i="3"/>
  <c r="C67" i="3"/>
  <c r="C66" i="3"/>
  <c r="D62" i="3"/>
  <c r="C62" i="3"/>
  <c r="H62" i="3" s="1"/>
  <c r="D61" i="3"/>
  <c r="C61" i="3"/>
  <c r="H61" i="3" s="1"/>
  <c r="D60" i="3"/>
  <c r="C60" i="3"/>
  <c r="G60" i="3" s="1"/>
  <c r="H59" i="3"/>
  <c r="D59" i="3"/>
  <c r="C59" i="3"/>
  <c r="F59" i="3" s="1"/>
  <c r="D58" i="3"/>
  <c r="C58" i="3"/>
  <c r="D54" i="3"/>
  <c r="C54" i="3"/>
  <c r="D53" i="3"/>
  <c r="C53" i="3"/>
  <c r="D52" i="3"/>
  <c r="C52" i="3"/>
  <c r="E52" i="3" s="1"/>
  <c r="D51" i="3"/>
  <c r="C51" i="3"/>
  <c r="D50" i="3"/>
  <c r="C50" i="3"/>
  <c r="D49" i="3"/>
  <c r="C49" i="3"/>
  <c r="D48" i="3"/>
  <c r="C48" i="3"/>
  <c r="E48" i="3" s="1"/>
  <c r="D47" i="3"/>
  <c r="C47" i="3"/>
  <c r="F42" i="3"/>
  <c r="D41" i="3"/>
  <c r="C41" i="3"/>
  <c r="H41" i="3" s="1"/>
  <c r="D40" i="3"/>
  <c r="C40" i="3"/>
  <c r="H36" i="3"/>
  <c r="G36" i="3"/>
  <c r="D36" i="3"/>
  <c r="C36" i="3"/>
  <c r="D35" i="3"/>
  <c r="C35" i="3"/>
  <c r="E35" i="3" s="1"/>
  <c r="G34" i="3"/>
  <c r="D34" i="3"/>
  <c r="C34" i="3"/>
  <c r="H34" i="3" s="1"/>
  <c r="D29" i="3"/>
  <c r="C29" i="3"/>
  <c r="G29" i="3" s="1"/>
  <c r="D28" i="3"/>
  <c r="C28" i="3"/>
  <c r="D27" i="3"/>
  <c r="C27" i="3"/>
  <c r="D26" i="3"/>
  <c r="C26" i="3"/>
  <c r="D25" i="3"/>
  <c r="C25" i="3"/>
  <c r="D24" i="3"/>
  <c r="C24" i="3"/>
  <c r="D19" i="3"/>
  <c r="C19" i="3"/>
  <c r="E19" i="3" s="1"/>
  <c r="D18" i="3"/>
  <c r="C18" i="3"/>
  <c r="F18" i="3" s="1"/>
  <c r="D13" i="3"/>
  <c r="C13" i="3"/>
  <c r="D12" i="3"/>
  <c r="C12" i="3"/>
  <c r="H12" i="3" s="1"/>
  <c r="D11" i="3"/>
  <c r="C11" i="3"/>
  <c r="D10" i="3"/>
  <c r="C10" i="3"/>
  <c r="D9" i="3"/>
  <c r="C9" i="3"/>
  <c r="I9" i="3" s="1"/>
  <c r="D8" i="3"/>
  <c r="C8" i="3"/>
  <c r="D7" i="3"/>
  <c r="C7" i="3"/>
  <c r="E7" i="3" s="1"/>
  <c r="K3" i="3"/>
  <c r="O500" i="2"/>
  <c r="N500" i="2"/>
  <c r="AC500" i="2" s="1"/>
  <c r="A500" i="2"/>
  <c r="O499" i="2"/>
  <c r="N499" i="2"/>
  <c r="A499" i="2"/>
  <c r="O498" i="2"/>
  <c r="N498" i="2"/>
  <c r="A498" i="2"/>
  <c r="O497" i="2"/>
  <c r="N497" i="2"/>
  <c r="A497" i="2"/>
  <c r="AC496" i="2"/>
  <c r="Q496" i="2"/>
  <c r="P496" i="2"/>
  <c r="O496" i="2"/>
  <c r="N496" i="2"/>
  <c r="A496" i="2"/>
  <c r="O495" i="2"/>
  <c r="N495" i="2"/>
  <c r="AC495" i="2" s="1"/>
  <c r="A495" i="2"/>
  <c r="O494" i="2"/>
  <c r="N494" i="2"/>
  <c r="A494" i="2"/>
  <c r="O493" i="2"/>
  <c r="N493" i="2"/>
  <c r="A493" i="2"/>
  <c r="O492" i="2"/>
  <c r="N492" i="2"/>
  <c r="P492" i="2" s="1"/>
  <c r="A492" i="2"/>
  <c r="P491" i="2"/>
  <c r="O491" i="2"/>
  <c r="N491" i="2"/>
  <c r="A491" i="2"/>
  <c r="AC490" i="2"/>
  <c r="Q490" i="2"/>
  <c r="P490" i="2"/>
  <c r="O490" i="2"/>
  <c r="N490" i="2"/>
  <c r="A490" i="2"/>
  <c r="O489" i="2"/>
  <c r="N489" i="2"/>
  <c r="A489" i="2"/>
  <c r="O488" i="2"/>
  <c r="N488" i="2"/>
  <c r="P488" i="2" s="1"/>
  <c r="A488" i="2"/>
  <c r="O487" i="2"/>
  <c r="N487" i="2"/>
  <c r="A487" i="2"/>
  <c r="AC486" i="2"/>
  <c r="Q486" i="2"/>
  <c r="O486" i="2"/>
  <c r="N486" i="2"/>
  <c r="P486" i="2" s="1"/>
  <c r="A486" i="2"/>
  <c r="O485" i="2"/>
  <c r="N485" i="2"/>
  <c r="A485" i="2"/>
  <c r="O484" i="2"/>
  <c r="N484" i="2"/>
  <c r="A484" i="2"/>
  <c r="O483" i="2"/>
  <c r="N483" i="2"/>
  <c r="P483" i="2" s="1"/>
  <c r="A483" i="2"/>
  <c r="O482" i="2"/>
  <c r="N482" i="2"/>
  <c r="P482" i="2" s="1"/>
  <c r="A482" i="2"/>
  <c r="AC481" i="2"/>
  <c r="Q481" i="2"/>
  <c r="P481" i="2"/>
  <c r="O481" i="2"/>
  <c r="N481" i="2"/>
  <c r="A481" i="2"/>
  <c r="O480" i="2"/>
  <c r="N480" i="2"/>
  <c r="Q480" i="2" s="1"/>
  <c r="A480" i="2"/>
  <c r="AC479" i="2"/>
  <c r="Q479" i="2"/>
  <c r="P479" i="2"/>
  <c r="O479" i="2"/>
  <c r="N479" i="2"/>
  <c r="A479" i="2"/>
  <c r="O478" i="2"/>
  <c r="N478" i="2"/>
  <c r="A478" i="2"/>
  <c r="AC477" i="2"/>
  <c r="O477" i="2"/>
  <c r="N477" i="2"/>
  <c r="Q477" i="2" s="1"/>
  <c r="A477" i="2"/>
  <c r="O476" i="2"/>
  <c r="N476" i="2"/>
  <c r="A476" i="2"/>
  <c r="O475" i="2"/>
  <c r="N475" i="2"/>
  <c r="A475" i="2"/>
  <c r="AC474" i="2"/>
  <c r="Q474" i="2"/>
  <c r="P474" i="2"/>
  <c r="O474" i="2"/>
  <c r="N474" i="2"/>
  <c r="A474" i="2"/>
  <c r="O473" i="2"/>
  <c r="N473" i="2"/>
  <c r="A473" i="2"/>
  <c r="O472" i="2"/>
  <c r="N472" i="2"/>
  <c r="Q472" i="2" s="1"/>
  <c r="A472" i="2"/>
  <c r="O471" i="2"/>
  <c r="N471" i="2"/>
  <c r="AC471" i="2" s="1"/>
  <c r="A471" i="2"/>
  <c r="O470" i="2"/>
  <c r="N470" i="2"/>
  <c r="P470" i="2" s="1"/>
  <c r="A470" i="2"/>
  <c r="AC469" i="2"/>
  <c r="O469" i="2"/>
  <c r="N469" i="2"/>
  <c r="P469" i="2" s="1"/>
  <c r="A469" i="2"/>
  <c r="O468" i="2"/>
  <c r="N468" i="2"/>
  <c r="AC468" i="2" s="1"/>
  <c r="A468" i="2"/>
  <c r="AC467" i="2"/>
  <c r="P467" i="2"/>
  <c r="O467" i="2"/>
  <c r="N467" i="2"/>
  <c r="Q467" i="2" s="1"/>
  <c r="A467" i="2"/>
  <c r="O466" i="2"/>
  <c r="N466" i="2"/>
  <c r="A466" i="2"/>
  <c r="AC465" i="2"/>
  <c r="Q465" i="2"/>
  <c r="P465" i="2"/>
  <c r="O465" i="2"/>
  <c r="N465" i="2"/>
  <c r="A465" i="2"/>
  <c r="O464" i="2"/>
  <c r="N464" i="2"/>
  <c r="A464" i="2"/>
  <c r="O463" i="2"/>
  <c r="N463" i="2"/>
  <c r="P463" i="2" s="1"/>
  <c r="A463" i="2"/>
  <c r="O462" i="2"/>
  <c r="N462" i="2"/>
  <c r="P462" i="2" s="1"/>
  <c r="A462" i="2"/>
  <c r="O461" i="2"/>
  <c r="N461" i="2"/>
  <c r="A461" i="2"/>
  <c r="O460" i="2"/>
  <c r="N460" i="2"/>
  <c r="AC460" i="2" s="1"/>
  <c r="A460" i="2"/>
  <c r="AC459" i="2"/>
  <c r="O459" i="2"/>
  <c r="N459" i="2"/>
  <c r="A459" i="2"/>
  <c r="Q458" i="2"/>
  <c r="O458" i="2"/>
  <c r="N458" i="2"/>
  <c r="P458" i="2" s="1"/>
  <c r="A458" i="2"/>
  <c r="O457" i="2"/>
  <c r="N457" i="2"/>
  <c r="AC457" i="2" s="1"/>
  <c r="A457" i="2"/>
  <c r="O456" i="2"/>
  <c r="N456" i="2"/>
  <c r="P456" i="2" s="1"/>
  <c r="A456" i="2"/>
  <c r="O455" i="2"/>
  <c r="N455" i="2"/>
  <c r="A455" i="2"/>
  <c r="P454" i="2"/>
  <c r="O454" i="2"/>
  <c r="N454" i="2"/>
  <c r="A454" i="2"/>
  <c r="AC453" i="2"/>
  <c r="Q453" i="2"/>
  <c r="P453" i="2"/>
  <c r="O453" i="2"/>
  <c r="N453" i="2"/>
  <c r="A453" i="2"/>
  <c r="O452" i="2"/>
  <c r="N452" i="2"/>
  <c r="Q452" i="2" s="1"/>
  <c r="A452" i="2"/>
  <c r="O451" i="2"/>
  <c r="N451" i="2"/>
  <c r="A451" i="2"/>
  <c r="O450" i="2"/>
  <c r="N450" i="2"/>
  <c r="P450" i="2" s="1"/>
  <c r="A450" i="2"/>
  <c r="O449" i="2"/>
  <c r="N449" i="2"/>
  <c r="Q449" i="2" s="1"/>
  <c r="A449" i="2"/>
  <c r="AC448" i="2"/>
  <c r="Q448" i="2"/>
  <c r="O448" i="2"/>
  <c r="N448" i="2"/>
  <c r="P448" i="2" s="1"/>
  <c r="A448" i="2"/>
  <c r="O447" i="2"/>
  <c r="N447" i="2"/>
  <c r="Q447" i="2" s="1"/>
  <c r="A447" i="2"/>
  <c r="O446" i="2"/>
  <c r="N446" i="2"/>
  <c r="AC446" i="2" s="1"/>
  <c r="A446" i="2"/>
  <c r="Q445" i="2"/>
  <c r="O445" i="2"/>
  <c r="N445" i="2"/>
  <c r="AC445" i="2" s="1"/>
  <c r="A445" i="2"/>
  <c r="O444" i="2"/>
  <c r="N444" i="2"/>
  <c r="A444" i="2"/>
  <c r="O443" i="2"/>
  <c r="N443" i="2"/>
  <c r="A443" i="2"/>
  <c r="O442" i="2"/>
  <c r="N442" i="2"/>
  <c r="A442" i="2"/>
  <c r="O441" i="2"/>
  <c r="N441" i="2"/>
  <c r="A441" i="2"/>
  <c r="O440" i="2"/>
  <c r="N440" i="2"/>
  <c r="A440" i="2"/>
  <c r="AC439" i="2"/>
  <c r="Q439" i="2"/>
  <c r="O439" i="2"/>
  <c r="N439" i="2"/>
  <c r="P439" i="2" s="1"/>
  <c r="A439" i="2"/>
  <c r="O438" i="2"/>
  <c r="N438" i="2"/>
  <c r="A438" i="2"/>
  <c r="O437" i="2"/>
  <c r="N437" i="2"/>
  <c r="A437" i="2"/>
  <c r="AC436" i="2"/>
  <c r="O436" i="2"/>
  <c r="N436" i="2"/>
  <c r="Q436" i="2" s="1"/>
  <c r="A436" i="2"/>
  <c r="O435" i="2"/>
  <c r="N435" i="2"/>
  <c r="A435" i="2"/>
  <c r="AC434" i="2"/>
  <c r="Q434" i="2"/>
  <c r="P434" i="2"/>
  <c r="O434" i="2"/>
  <c r="N434" i="2"/>
  <c r="A434" i="2"/>
  <c r="Q433" i="2"/>
  <c r="P433" i="2"/>
  <c r="O433" i="2"/>
  <c r="N433" i="2"/>
  <c r="AC433" i="2" s="1"/>
  <c r="A433" i="2"/>
  <c r="AC432" i="2"/>
  <c r="P432" i="2"/>
  <c r="O432" i="2"/>
  <c r="N432" i="2"/>
  <c r="Q432" i="2" s="1"/>
  <c r="A432" i="2"/>
  <c r="O431" i="2"/>
  <c r="N431" i="2"/>
  <c r="AC431" i="2" s="1"/>
  <c r="A431" i="2"/>
  <c r="AC430" i="2"/>
  <c r="P430" i="2"/>
  <c r="O430" i="2"/>
  <c r="N430" i="2"/>
  <c r="Q430" i="2" s="1"/>
  <c r="A430" i="2"/>
  <c r="O429" i="2"/>
  <c r="N429" i="2"/>
  <c r="P429" i="2" s="1"/>
  <c r="A429" i="2"/>
  <c r="O428" i="2"/>
  <c r="N428" i="2"/>
  <c r="A428" i="2"/>
  <c r="AC427" i="2"/>
  <c r="P427" i="2"/>
  <c r="O427" i="2"/>
  <c r="N427" i="2"/>
  <c r="Q427" i="2" s="1"/>
  <c r="A427" i="2"/>
  <c r="O426" i="2"/>
  <c r="N426" i="2"/>
  <c r="A426" i="2"/>
  <c r="O425" i="2"/>
  <c r="N425" i="2"/>
  <c r="Q425" i="2" s="1"/>
  <c r="A425" i="2"/>
  <c r="Q424" i="2"/>
  <c r="O424" i="2"/>
  <c r="N424" i="2"/>
  <c r="A424" i="2"/>
  <c r="Q423" i="2"/>
  <c r="P423" i="2"/>
  <c r="O423" i="2"/>
  <c r="N423" i="2"/>
  <c r="AC423" i="2" s="1"/>
  <c r="A423" i="2"/>
  <c r="O422" i="2"/>
  <c r="N422" i="2"/>
  <c r="AC422" i="2" s="1"/>
  <c r="A422" i="2"/>
  <c r="AC421" i="2"/>
  <c r="Q421" i="2"/>
  <c r="P421" i="2"/>
  <c r="O421" i="2"/>
  <c r="N421" i="2"/>
  <c r="A421" i="2"/>
  <c r="Q420" i="2"/>
  <c r="P420" i="2"/>
  <c r="O420" i="2"/>
  <c r="N420" i="2"/>
  <c r="AC420" i="2" s="1"/>
  <c r="A420" i="2"/>
  <c r="O419" i="2"/>
  <c r="N419" i="2"/>
  <c r="A419" i="2"/>
  <c r="O418" i="2"/>
  <c r="N418" i="2"/>
  <c r="A418" i="2"/>
  <c r="O417" i="2"/>
  <c r="N417" i="2"/>
  <c r="A417" i="2"/>
  <c r="O416" i="2"/>
  <c r="N416" i="2"/>
  <c r="A416" i="2"/>
  <c r="AC415" i="2"/>
  <c r="O415" i="2"/>
  <c r="N415" i="2"/>
  <c r="A415" i="2"/>
  <c r="O414" i="2"/>
  <c r="N414" i="2"/>
  <c r="P414" i="2" s="1"/>
  <c r="A414" i="2"/>
  <c r="O413" i="2"/>
  <c r="N413" i="2"/>
  <c r="A413" i="2"/>
  <c r="AC412" i="2"/>
  <c r="P412" i="2"/>
  <c r="O412" i="2"/>
  <c r="N412" i="2"/>
  <c r="Q412" i="2" s="1"/>
  <c r="A412" i="2"/>
  <c r="O411" i="2"/>
  <c r="N411" i="2"/>
  <c r="A411" i="2"/>
  <c r="O410" i="2"/>
  <c r="N410" i="2"/>
  <c r="AC410" i="2" s="1"/>
  <c r="A410" i="2"/>
  <c r="O409" i="2"/>
  <c r="N409" i="2"/>
  <c r="A409" i="2"/>
  <c r="O408" i="2"/>
  <c r="N408" i="2"/>
  <c r="AC408" i="2" s="1"/>
  <c r="A408" i="2"/>
  <c r="O407" i="2"/>
  <c r="N407" i="2"/>
  <c r="A407" i="2"/>
  <c r="O406" i="2"/>
  <c r="N406" i="2"/>
  <c r="A406" i="2"/>
  <c r="O405" i="2"/>
  <c r="N405" i="2"/>
  <c r="P405" i="2" s="1"/>
  <c r="A405" i="2"/>
  <c r="O404" i="2"/>
  <c r="N404" i="2"/>
  <c r="A404" i="2"/>
  <c r="AC403" i="2"/>
  <c r="Q403" i="2"/>
  <c r="P403" i="2"/>
  <c r="O403" i="2"/>
  <c r="N403" i="2"/>
  <c r="A403" i="2"/>
  <c r="O402" i="2"/>
  <c r="N402" i="2"/>
  <c r="A402" i="2"/>
  <c r="AC401" i="2"/>
  <c r="Q401" i="2"/>
  <c r="P401" i="2"/>
  <c r="O401" i="2"/>
  <c r="N401" i="2"/>
  <c r="A401" i="2"/>
  <c r="AC400" i="2"/>
  <c r="Q400" i="2"/>
  <c r="O400" i="2"/>
  <c r="N400" i="2"/>
  <c r="P400" i="2" s="1"/>
  <c r="A400" i="2"/>
  <c r="O399" i="2"/>
  <c r="N399" i="2"/>
  <c r="AC399" i="2" s="1"/>
  <c r="A399" i="2"/>
  <c r="Q398" i="2"/>
  <c r="P398" i="2"/>
  <c r="O398" i="2"/>
  <c r="N398" i="2"/>
  <c r="AC398" i="2" s="1"/>
  <c r="A398" i="2"/>
  <c r="O397" i="2"/>
  <c r="N397" i="2"/>
  <c r="A397" i="2"/>
  <c r="AC396" i="2"/>
  <c r="Q396" i="2"/>
  <c r="O396" i="2"/>
  <c r="N396" i="2"/>
  <c r="P396" i="2" s="1"/>
  <c r="A396" i="2"/>
  <c r="O395" i="2"/>
  <c r="N395" i="2"/>
  <c r="AC395" i="2" s="1"/>
  <c r="A395" i="2"/>
  <c r="AC394" i="2"/>
  <c r="Q394" i="2"/>
  <c r="O394" i="2"/>
  <c r="N394" i="2"/>
  <c r="P394" i="2" s="1"/>
  <c r="A394" i="2"/>
  <c r="O393" i="2"/>
  <c r="N393" i="2"/>
  <c r="A393" i="2"/>
  <c r="O392" i="2"/>
  <c r="N392" i="2"/>
  <c r="P392" i="2" s="1"/>
  <c r="A392" i="2"/>
  <c r="O391" i="2"/>
  <c r="N391" i="2"/>
  <c r="A391" i="2"/>
  <c r="O390" i="2"/>
  <c r="N390" i="2"/>
  <c r="P390" i="2" s="1"/>
  <c r="A390" i="2"/>
  <c r="O389" i="2"/>
  <c r="N389" i="2"/>
  <c r="A389" i="2"/>
  <c r="O388" i="2"/>
  <c r="N388" i="2"/>
  <c r="A388" i="2"/>
  <c r="O387" i="2"/>
  <c r="N387" i="2"/>
  <c r="AC387" i="2" s="1"/>
  <c r="A387" i="2"/>
  <c r="O386" i="2"/>
  <c r="N386" i="2"/>
  <c r="A386" i="2"/>
  <c r="O385" i="2"/>
  <c r="N385" i="2"/>
  <c r="A385" i="2"/>
  <c r="O384" i="2"/>
  <c r="N384" i="2"/>
  <c r="AC384" i="2" s="1"/>
  <c r="A384" i="2"/>
  <c r="Q383" i="2"/>
  <c r="P383" i="2"/>
  <c r="O383" i="2"/>
  <c r="N383" i="2"/>
  <c r="AC383" i="2" s="1"/>
  <c r="A383" i="2"/>
  <c r="P382" i="2"/>
  <c r="O382" i="2"/>
  <c r="N382" i="2"/>
  <c r="Q382" i="2" s="1"/>
  <c r="A382" i="2"/>
  <c r="O381" i="2"/>
  <c r="N381" i="2"/>
  <c r="A381" i="2"/>
  <c r="O380" i="2"/>
  <c r="N380" i="2"/>
  <c r="Q380" i="2" s="1"/>
  <c r="A380" i="2"/>
  <c r="O379" i="2"/>
  <c r="N379" i="2"/>
  <c r="AC379" i="2" s="1"/>
  <c r="A379" i="2"/>
  <c r="AC378" i="2"/>
  <c r="Q378" i="2"/>
  <c r="O378" i="2"/>
  <c r="N378" i="2"/>
  <c r="P378" i="2" s="1"/>
  <c r="A378" i="2"/>
  <c r="O377" i="2"/>
  <c r="N377" i="2"/>
  <c r="A377" i="2"/>
  <c r="AC376" i="2"/>
  <c r="Q376" i="2"/>
  <c r="O376" i="2"/>
  <c r="N376" i="2"/>
  <c r="P376" i="2" s="1"/>
  <c r="A376" i="2"/>
  <c r="O375" i="2"/>
  <c r="N375" i="2"/>
  <c r="A375" i="2"/>
  <c r="AC374" i="2"/>
  <c r="Q374" i="2"/>
  <c r="P374" i="2"/>
  <c r="O374" i="2"/>
  <c r="N374" i="2"/>
  <c r="A374" i="2"/>
  <c r="O373" i="2"/>
  <c r="N373" i="2"/>
  <c r="A373" i="2"/>
  <c r="AC372" i="2"/>
  <c r="O372" i="2"/>
  <c r="N372" i="2"/>
  <c r="Q372" i="2" s="1"/>
  <c r="A372" i="2"/>
  <c r="O371" i="2"/>
  <c r="N371" i="2"/>
  <c r="A371" i="2"/>
  <c r="O370" i="2"/>
  <c r="N370" i="2"/>
  <c r="A370" i="2"/>
  <c r="O369" i="2"/>
  <c r="N369" i="2"/>
  <c r="Q369" i="2" s="1"/>
  <c r="A369" i="2"/>
  <c r="O368" i="2"/>
  <c r="N368" i="2"/>
  <c r="A368" i="2"/>
  <c r="O367" i="2"/>
  <c r="N367" i="2"/>
  <c r="AC367" i="2" s="1"/>
  <c r="A367" i="2"/>
  <c r="O366" i="2"/>
  <c r="N366" i="2"/>
  <c r="A366" i="2"/>
  <c r="AC365" i="2"/>
  <c r="Q365" i="2"/>
  <c r="P365" i="2"/>
  <c r="O365" i="2"/>
  <c r="N365" i="2"/>
  <c r="A365" i="2"/>
  <c r="O364" i="2"/>
  <c r="N364" i="2"/>
  <c r="AC364" i="2" s="1"/>
  <c r="A364" i="2"/>
  <c r="AC363" i="2"/>
  <c r="Q363" i="2"/>
  <c r="O363" i="2"/>
  <c r="N363" i="2"/>
  <c r="P363" i="2" s="1"/>
  <c r="A363" i="2"/>
  <c r="O362" i="2"/>
  <c r="N362" i="2"/>
  <c r="Q362" i="2" s="1"/>
  <c r="A362" i="2"/>
  <c r="AC361" i="2"/>
  <c r="O361" i="2"/>
  <c r="N361" i="2"/>
  <c r="Q361" i="2" s="1"/>
  <c r="A361" i="2"/>
  <c r="O360" i="2"/>
  <c r="N360" i="2"/>
  <c r="Q360" i="2" s="1"/>
  <c r="A360" i="2"/>
  <c r="O359" i="2"/>
  <c r="N359" i="2"/>
  <c r="AC359" i="2" s="1"/>
  <c r="A359" i="2"/>
  <c r="O358" i="2"/>
  <c r="N358" i="2"/>
  <c r="A358" i="2"/>
  <c r="O357" i="2"/>
  <c r="N357" i="2"/>
  <c r="A357" i="2"/>
  <c r="AC356" i="2"/>
  <c r="O356" i="2"/>
  <c r="N356" i="2"/>
  <c r="P356" i="2" s="1"/>
  <c r="A356" i="2"/>
  <c r="O355" i="2"/>
  <c r="N355" i="2"/>
  <c r="P355" i="2" s="1"/>
  <c r="A355" i="2"/>
  <c r="O354" i="2"/>
  <c r="N354" i="2"/>
  <c r="AC354" i="2" s="1"/>
  <c r="A354" i="2"/>
  <c r="O353" i="2"/>
  <c r="N353" i="2"/>
  <c r="A353" i="2"/>
  <c r="O352" i="2"/>
  <c r="N352" i="2"/>
  <c r="Q352" i="2" s="1"/>
  <c r="A352" i="2"/>
  <c r="O351" i="2"/>
  <c r="N351" i="2"/>
  <c r="A351" i="2"/>
  <c r="O350" i="2"/>
  <c r="N350" i="2"/>
  <c r="AC350" i="2" s="1"/>
  <c r="A350" i="2"/>
  <c r="O349" i="2"/>
  <c r="N349" i="2"/>
  <c r="A349" i="2"/>
  <c r="O348" i="2"/>
  <c r="N348" i="2"/>
  <c r="P348" i="2" s="1"/>
  <c r="A348" i="2"/>
  <c r="O347" i="2"/>
  <c r="N347" i="2"/>
  <c r="P347" i="2" s="1"/>
  <c r="A347" i="2"/>
  <c r="O346" i="2"/>
  <c r="N346" i="2"/>
  <c r="A346" i="2"/>
  <c r="O345" i="2"/>
  <c r="N345" i="2"/>
  <c r="AC345" i="2" s="1"/>
  <c r="A345" i="2"/>
  <c r="O344" i="2"/>
  <c r="N344" i="2"/>
  <c r="Q344" i="2" s="1"/>
  <c r="A344" i="2"/>
  <c r="O343" i="2"/>
  <c r="N343" i="2"/>
  <c r="A343" i="2"/>
  <c r="O342" i="2"/>
  <c r="N342" i="2"/>
  <c r="A342" i="2"/>
  <c r="AC341" i="2"/>
  <c r="O341" i="2"/>
  <c r="N341" i="2"/>
  <c r="P341" i="2" s="1"/>
  <c r="A341" i="2"/>
  <c r="AC340" i="2"/>
  <c r="Q340" i="2"/>
  <c r="P340" i="2"/>
  <c r="O340" i="2"/>
  <c r="N340" i="2"/>
  <c r="A340" i="2"/>
  <c r="O339" i="2"/>
  <c r="N339" i="2"/>
  <c r="P339" i="2" s="1"/>
  <c r="A339" i="2"/>
  <c r="AC338" i="2"/>
  <c r="Q338" i="2"/>
  <c r="P338" i="2"/>
  <c r="O338" i="2"/>
  <c r="N338" i="2"/>
  <c r="A338" i="2"/>
  <c r="O337" i="2"/>
  <c r="N337" i="2"/>
  <c r="AC337" i="2" s="1"/>
  <c r="A337" i="2"/>
  <c r="AC336" i="2"/>
  <c r="Q336" i="2"/>
  <c r="P336" i="2"/>
  <c r="O336" i="2"/>
  <c r="N336" i="2"/>
  <c r="A336" i="2"/>
  <c r="O335" i="2"/>
  <c r="N335" i="2"/>
  <c r="P335" i="2" s="1"/>
  <c r="A335" i="2"/>
  <c r="AC334" i="2"/>
  <c r="Q334" i="2"/>
  <c r="P334" i="2"/>
  <c r="O334" i="2"/>
  <c r="N334" i="2"/>
  <c r="A334" i="2"/>
  <c r="AC333" i="2"/>
  <c r="P333" i="2"/>
  <c r="O333" i="2"/>
  <c r="N333" i="2"/>
  <c r="Q333" i="2" s="1"/>
  <c r="A333" i="2"/>
  <c r="O332" i="2"/>
  <c r="N332" i="2"/>
  <c r="A332" i="2"/>
  <c r="O331" i="2"/>
  <c r="N331" i="2"/>
  <c r="A331" i="2"/>
  <c r="O330" i="2"/>
  <c r="N330" i="2"/>
  <c r="A330" i="2"/>
  <c r="Q329" i="2"/>
  <c r="O329" i="2"/>
  <c r="N329" i="2"/>
  <c r="P329" i="2" s="1"/>
  <c r="A329" i="2"/>
  <c r="O328" i="2"/>
  <c r="N328" i="2"/>
  <c r="AC328" i="2" s="1"/>
  <c r="A328" i="2"/>
  <c r="AC327" i="2"/>
  <c r="O327" i="2"/>
  <c r="N327" i="2"/>
  <c r="Q327" i="2" s="1"/>
  <c r="A327" i="2"/>
  <c r="O326" i="2"/>
  <c r="N326" i="2"/>
  <c r="A326" i="2"/>
  <c r="AC325" i="2"/>
  <c r="Q325" i="2"/>
  <c r="O325" i="2"/>
  <c r="N325" i="2"/>
  <c r="P325" i="2" s="1"/>
  <c r="A325" i="2"/>
  <c r="O324" i="2"/>
  <c r="N324" i="2"/>
  <c r="A324" i="2"/>
  <c r="O323" i="2"/>
  <c r="N323" i="2"/>
  <c r="A323" i="2"/>
  <c r="AC322" i="2"/>
  <c r="O322" i="2"/>
  <c r="N322" i="2"/>
  <c r="A322" i="2"/>
  <c r="O321" i="2"/>
  <c r="N321" i="2"/>
  <c r="AC321" i="2" s="1"/>
  <c r="A321" i="2"/>
  <c r="O320" i="2"/>
  <c r="N320" i="2"/>
  <c r="A320" i="2"/>
  <c r="Q319" i="2"/>
  <c r="P319" i="2"/>
  <c r="O319" i="2"/>
  <c r="N319" i="2"/>
  <c r="AC319" i="2" s="1"/>
  <c r="A319" i="2"/>
  <c r="O318" i="2"/>
  <c r="N318" i="2"/>
  <c r="Q318" i="2" s="1"/>
  <c r="A318" i="2"/>
  <c r="AC317" i="2"/>
  <c r="P317" i="2"/>
  <c r="O317" i="2"/>
  <c r="N317" i="2"/>
  <c r="Q317" i="2" s="1"/>
  <c r="A317" i="2"/>
  <c r="O316" i="2"/>
  <c r="N316" i="2"/>
  <c r="AC316" i="2" s="1"/>
  <c r="A316" i="2"/>
  <c r="AC315" i="2"/>
  <c r="Q315" i="2"/>
  <c r="O315" i="2"/>
  <c r="N315" i="2"/>
  <c r="P315" i="2" s="1"/>
  <c r="A315" i="2"/>
  <c r="O314" i="2"/>
  <c r="N314" i="2"/>
  <c r="A314" i="2"/>
  <c r="AC313" i="2"/>
  <c r="Q313" i="2"/>
  <c r="O313" i="2"/>
  <c r="N313" i="2"/>
  <c r="P313" i="2" s="1"/>
  <c r="A313" i="2"/>
  <c r="O312" i="2"/>
  <c r="N312" i="2"/>
  <c r="A312" i="2"/>
  <c r="O311" i="2"/>
  <c r="N311" i="2"/>
  <c r="Q311" i="2" s="1"/>
  <c r="A311" i="2"/>
  <c r="AC310" i="2"/>
  <c r="O310" i="2"/>
  <c r="N310" i="2"/>
  <c r="A310" i="2"/>
  <c r="O309" i="2"/>
  <c r="N309" i="2"/>
  <c r="Q309" i="2" s="1"/>
  <c r="A309" i="2"/>
  <c r="O308" i="2"/>
  <c r="N308" i="2"/>
  <c r="Q308" i="2" s="1"/>
  <c r="A308" i="2"/>
  <c r="O307" i="2"/>
  <c r="N307" i="2"/>
  <c r="A307" i="2"/>
  <c r="O306" i="2"/>
  <c r="N306" i="2"/>
  <c r="AC306" i="2" s="1"/>
  <c r="A306" i="2"/>
  <c r="P305" i="2"/>
  <c r="O305" i="2"/>
  <c r="N305" i="2"/>
  <c r="A305" i="2"/>
  <c r="O304" i="2"/>
  <c r="N304" i="2"/>
  <c r="P304" i="2" s="1"/>
  <c r="A304" i="2"/>
  <c r="O303" i="2"/>
  <c r="N303" i="2"/>
  <c r="P303" i="2" s="1"/>
  <c r="A303" i="2"/>
  <c r="O302" i="2"/>
  <c r="N302" i="2"/>
  <c r="P302" i="2" s="1"/>
  <c r="A302" i="2"/>
  <c r="O301" i="2"/>
  <c r="N301" i="2"/>
  <c r="AC301" i="2" s="1"/>
  <c r="A301" i="2"/>
  <c r="Q300" i="2"/>
  <c r="P300" i="2"/>
  <c r="O300" i="2"/>
  <c r="N300" i="2"/>
  <c r="AC300" i="2" s="1"/>
  <c r="A300" i="2"/>
  <c r="O299" i="2"/>
  <c r="N299" i="2"/>
  <c r="A299" i="2"/>
  <c r="O298" i="2"/>
  <c r="N298" i="2"/>
  <c r="AC298" i="2" s="1"/>
  <c r="A298" i="2"/>
  <c r="O297" i="2"/>
  <c r="N297" i="2"/>
  <c r="A297" i="2"/>
  <c r="P296" i="2"/>
  <c r="O296" i="2"/>
  <c r="N296" i="2"/>
  <c r="A296" i="2"/>
  <c r="O295" i="2"/>
  <c r="N295" i="2"/>
  <c r="AC295" i="2" s="1"/>
  <c r="A295" i="2"/>
  <c r="O294" i="2"/>
  <c r="N294" i="2"/>
  <c r="AC294" i="2" s="1"/>
  <c r="A294" i="2"/>
  <c r="O293" i="2"/>
  <c r="N293" i="2"/>
  <c r="AC293" i="2" s="1"/>
  <c r="A293" i="2"/>
  <c r="O292" i="2"/>
  <c r="N292" i="2"/>
  <c r="A292" i="2"/>
  <c r="O291" i="2"/>
  <c r="N291" i="2"/>
  <c r="Q291" i="2" s="1"/>
  <c r="A291" i="2"/>
  <c r="O290" i="2"/>
  <c r="N290" i="2"/>
  <c r="P290" i="2" s="1"/>
  <c r="A290" i="2"/>
  <c r="AC289" i="2"/>
  <c r="O289" i="2"/>
  <c r="N289" i="2"/>
  <c r="Q289" i="2" s="1"/>
  <c r="A289" i="2"/>
  <c r="O288" i="2"/>
  <c r="N288" i="2"/>
  <c r="P288" i="2" s="1"/>
  <c r="A288" i="2"/>
  <c r="AC287" i="2"/>
  <c r="O287" i="2"/>
  <c r="N287" i="2"/>
  <c r="A287" i="2"/>
  <c r="O286" i="2"/>
  <c r="N286" i="2"/>
  <c r="P286" i="2" s="1"/>
  <c r="A286" i="2"/>
  <c r="Q285" i="2"/>
  <c r="P285" i="2"/>
  <c r="O285" i="2"/>
  <c r="N285" i="2"/>
  <c r="AC285" i="2" s="1"/>
  <c r="A285" i="2"/>
  <c r="AC284" i="2"/>
  <c r="Q284" i="2"/>
  <c r="P284" i="2"/>
  <c r="O284" i="2"/>
  <c r="N284" i="2"/>
  <c r="A284" i="2"/>
  <c r="AC283" i="2"/>
  <c r="O283" i="2"/>
  <c r="N283" i="2"/>
  <c r="A283" i="2"/>
  <c r="O282" i="2"/>
  <c r="N282" i="2"/>
  <c r="Q282" i="2" s="1"/>
  <c r="A282" i="2"/>
  <c r="O281" i="2"/>
  <c r="N281" i="2"/>
  <c r="P281" i="2" s="1"/>
  <c r="A281" i="2"/>
  <c r="O280" i="2"/>
  <c r="N280" i="2"/>
  <c r="A280" i="2"/>
  <c r="Q279" i="2"/>
  <c r="P279" i="2"/>
  <c r="O279" i="2"/>
  <c r="N279" i="2"/>
  <c r="AC279" i="2" s="1"/>
  <c r="A279" i="2"/>
  <c r="AC278" i="2"/>
  <c r="Q278" i="2"/>
  <c r="O278" i="2"/>
  <c r="N278" i="2"/>
  <c r="P278" i="2" s="1"/>
  <c r="A278" i="2"/>
  <c r="AC277" i="2"/>
  <c r="P277" i="2"/>
  <c r="O277" i="2"/>
  <c r="N277" i="2"/>
  <c r="Q277" i="2" s="1"/>
  <c r="A277" i="2"/>
  <c r="O276" i="2"/>
  <c r="N276" i="2"/>
  <c r="P276" i="2" s="1"/>
  <c r="A276" i="2"/>
  <c r="O275" i="2"/>
  <c r="N275" i="2"/>
  <c r="P275" i="2" s="1"/>
  <c r="A275" i="2"/>
  <c r="O274" i="2"/>
  <c r="N274" i="2"/>
  <c r="AC274" i="2" s="1"/>
  <c r="A274" i="2"/>
  <c r="Q273" i="2"/>
  <c r="O273" i="2"/>
  <c r="N273" i="2"/>
  <c r="AC273" i="2" s="1"/>
  <c r="A273" i="2"/>
  <c r="O272" i="2"/>
  <c r="N272" i="2"/>
  <c r="A272" i="2"/>
  <c r="O271" i="2"/>
  <c r="N271" i="2"/>
  <c r="Q271" i="2" s="1"/>
  <c r="A271" i="2"/>
  <c r="O270" i="2"/>
  <c r="N270" i="2"/>
  <c r="AC270" i="2" s="1"/>
  <c r="A270" i="2"/>
  <c r="Q269" i="2"/>
  <c r="O269" i="2"/>
  <c r="N269" i="2"/>
  <c r="AC269" i="2" s="1"/>
  <c r="A269" i="2"/>
  <c r="O268" i="2"/>
  <c r="N268" i="2"/>
  <c r="P268" i="2" s="1"/>
  <c r="A268" i="2"/>
  <c r="AC267" i="2"/>
  <c r="P267" i="2"/>
  <c r="O267" i="2"/>
  <c r="N267" i="2"/>
  <c r="Q267" i="2" s="1"/>
  <c r="A267" i="2"/>
  <c r="O266" i="2"/>
  <c r="N266" i="2"/>
  <c r="P266" i="2" s="1"/>
  <c r="A266" i="2"/>
  <c r="AC265" i="2"/>
  <c r="Q265" i="2"/>
  <c r="P265" i="2"/>
  <c r="O265" i="2"/>
  <c r="N265" i="2"/>
  <c r="A265" i="2"/>
  <c r="O264" i="2"/>
  <c r="N264" i="2"/>
  <c r="Q264" i="2" s="1"/>
  <c r="A264" i="2"/>
  <c r="O263" i="2"/>
  <c r="N263" i="2"/>
  <c r="A263" i="2"/>
  <c r="O262" i="2"/>
  <c r="N262" i="2"/>
  <c r="A262" i="2"/>
  <c r="O261" i="2"/>
  <c r="N261" i="2"/>
  <c r="A261" i="2"/>
  <c r="O260" i="2"/>
  <c r="N260" i="2"/>
  <c r="AC260" i="2" s="1"/>
  <c r="A260" i="2"/>
  <c r="O259" i="2"/>
  <c r="N259" i="2"/>
  <c r="Q259" i="2" s="1"/>
  <c r="A259" i="2"/>
  <c r="AC258" i="2"/>
  <c r="Q258" i="2"/>
  <c r="P258" i="2"/>
  <c r="O258" i="2"/>
  <c r="N258" i="2"/>
  <c r="A258" i="2"/>
  <c r="O257" i="2"/>
  <c r="N257" i="2"/>
  <c r="A257" i="2"/>
  <c r="O256" i="2"/>
  <c r="N256" i="2"/>
  <c r="P256" i="2" s="1"/>
  <c r="A256" i="2"/>
  <c r="O255" i="2"/>
  <c r="N255" i="2"/>
  <c r="A255" i="2"/>
  <c r="O254" i="2"/>
  <c r="N254" i="2"/>
  <c r="Q254" i="2" s="1"/>
  <c r="A254" i="2"/>
  <c r="O253" i="2"/>
  <c r="N253" i="2"/>
  <c r="P253" i="2" s="1"/>
  <c r="A253" i="2"/>
  <c r="O252" i="2"/>
  <c r="N252" i="2"/>
  <c r="A252" i="2"/>
  <c r="O251" i="2"/>
  <c r="N251" i="2"/>
  <c r="AC251" i="2" s="1"/>
  <c r="A251" i="2"/>
  <c r="O250" i="2"/>
  <c r="N250" i="2"/>
  <c r="Q250" i="2" s="1"/>
  <c r="A250" i="2"/>
  <c r="O249" i="2"/>
  <c r="N249" i="2"/>
  <c r="Q249" i="2" s="1"/>
  <c r="A249" i="2"/>
  <c r="O248" i="2"/>
  <c r="N248" i="2"/>
  <c r="P248" i="2" s="1"/>
  <c r="A248" i="2"/>
  <c r="O247" i="2"/>
  <c r="N247" i="2"/>
  <c r="A247" i="2"/>
  <c r="O246" i="2"/>
  <c r="N246" i="2"/>
  <c r="P246" i="2" s="1"/>
  <c r="A246" i="2"/>
  <c r="O245" i="2"/>
  <c r="N245" i="2"/>
  <c r="A245" i="2"/>
  <c r="O244" i="2"/>
  <c r="N244" i="2"/>
  <c r="Q244" i="2" s="1"/>
  <c r="A244" i="2"/>
  <c r="O243" i="2"/>
  <c r="N243" i="2"/>
  <c r="P243" i="2" s="1"/>
  <c r="A243" i="2"/>
  <c r="P242" i="2"/>
  <c r="O242" i="2"/>
  <c r="N242" i="2"/>
  <c r="A242" i="2"/>
  <c r="O241" i="2"/>
  <c r="N241" i="2"/>
  <c r="A241" i="2"/>
  <c r="O240" i="2"/>
  <c r="N240" i="2"/>
  <c r="AC240" i="2" s="1"/>
  <c r="A240" i="2"/>
  <c r="O239" i="2"/>
  <c r="N239" i="2"/>
  <c r="A239" i="2"/>
  <c r="O238" i="2"/>
  <c r="N238" i="2"/>
  <c r="A238" i="2"/>
  <c r="O237" i="2"/>
  <c r="N237" i="2"/>
  <c r="AC237" i="2" s="1"/>
  <c r="A237" i="2"/>
  <c r="O236" i="2"/>
  <c r="N236" i="2"/>
  <c r="P236" i="2" s="1"/>
  <c r="A236" i="2"/>
  <c r="O235" i="2"/>
  <c r="N235" i="2"/>
  <c r="A235" i="2"/>
  <c r="AC234" i="2"/>
  <c r="Q234" i="2"/>
  <c r="P234" i="2"/>
  <c r="O234" i="2"/>
  <c r="N234" i="2"/>
  <c r="A234" i="2"/>
  <c r="O233" i="2"/>
  <c r="N233" i="2"/>
  <c r="Q233" i="2" s="1"/>
  <c r="A233" i="2"/>
  <c r="AC232" i="2"/>
  <c r="O232" i="2"/>
  <c r="N232" i="2"/>
  <c r="Q232" i="2" s="1"/>
  <c r="A232" i="2"/>
  <c r="O231" i="2"/>
  <c r="N231" i="2"/>
  <c r="Q231" i="2" s="1"/>
  <c r="A231" i="2"/>
  <c r="AC230" i="2"/>
  <c r="P230" i="2"/>
  <c r="O230" i="2"/>
  <c r="N230" i="2"/>
  <c r="Q230" i="2" s="1"/>
  <c r="A230" i="2"/>
  <c r="O229" i="2"/>
  <c r="N229" i="2"/>
  <c r="AC229" i="2" s="1"/>
  <c r="A229" i="2"/>
  <c r="O228" i="2"/>
  <c r="N228" i="2"/>
  <c r="P228" i="2" s="1"/>
  <c r="A228" i="2"/>
  <c r="P227" i="2"/>
  <c r="O227" i="2"/>
  <c r="N227" i="2"/>
  <c r="A227" i="2"/>
  <c r="O226" i="2"/>
  <c r="N226" i="2"/>
  <c r="A226" i="2"/>
  <c r="Q225" i="2"/>
  <c r="O225" i="2"/>
  <c r="N225" i="2"/>
  <c r="A225" i="2"/>
  <c r="O224" i="2"/>
  <c r="N224" i="2"/>
  <c r="AC224" i="2" s="1"/>
  <c r="A224" i="2"/>
  <c r="AC223" i="2"/>
  <c r="O223" i="2"/>
  <c r="N223" i="2"/>
  <c r="Q223" i="2" s="1"/>
  <c r="A223" i="2"/>
  <c r="O222" i="2"/>
  <c r="N222" i="2"/>
  <c r="Q222" i="2" s="1"/>
  <c r="A222" i="2"/>
  <c r="O221" i="2"/>
  <c r="N221" i="2"/>
  <c r="P221" i="2" s="1"/>
  <c r="A221" i="2"/>
  <c r="O220" i="2"/>
  <c r="N220" i="2"/>
  <c r="P220" i="2" s="1"/>
  <c r="A220" i="2"/>
  <c r="AC219" i="2"/>
  <c r="O219" i="2"/>
  <c r="N219" i="2"/>
  <c r="P219" i="2" s="1"/>
  <c r="A219" i="2"/>
  <c r="O218" i="2"/>
  <c r="N218" i="2"/>
  <c r="AC218" i="2" s="1"/>
  <c r="A218" i="2"/>
  <c r="O217" i="2"/>
  <c r="N217" i="2"/>
  <c r="A217" i="2"/>
  <c r="O216" i="2"/>
  <c r="N216" i="2"/>
  <c r="A216" i="2"/>
  <c r="O215" i="2"/>
  <c r="N215" i="2"/>
  <c r="AC215" i="2" s="1"/>
  <c r="A215" i="2"/>
  <c r="AC214" i="2"/>
  <c r="Q214" i="2"/>
  <c r="P214" i="2"/>
  <c r="O214" i="2"/>
  <c r="N214" i="2"/>
  <c r="A214" i="2"/>
  <c r="O213" i="2"/>
  <c r="N213" i="2"/>
  <c r="Q213" i="2" s="1"/>
  <c r="A213" i="2"/>
  <c r="Q212" i="2"/>
  <c r="O212" i="2"/>
  <c r="N212" i="2"/>
  <c r="A212" i="2"/>
  <c r="O211" i="2"/>
  <c r="N211" i="2"/>
  <c r="AC211" i="2" s="1"/>
  <c r="A211" i="2"/>
  <c r="P210" i="2"/>
  <c r="O210" i="2"/>
  <c r="N210" i="2"/>
  <c r="A210" i="2"/>
  <c r="O209" i="2"/>
  <c r="N209" i="2"/>
  <c r="Q209" i="2" s="1"/>
  <c r="A209" i="2"/>
  <c r="O208" i="2"/>
  <c r="N208" i="2"/>
  <c r="Q208" i="2" s="1"/>
  <c r="A208" i="2"/>
  <c r="O207" i="2"/>
  <c r="N207" i="2"/>
  <c r="AC207" i="2" s="1"/>
  <c r="A207" i="2"/>
  <c r="AC206" i="2"/>
  <c r="Q206" i="2"/>
  <c r="P206" i="2"/>
  <c r="O206" i="2"/>
  <c r="N206" i="2"/>
  <c r="A206" i="2"/>
  <c r="O205" i="2"/>
  <c r="N205" i="2"/>
  <c r="A205" i="2"/>
  <c r="O204" i="2"/>
  <c r="N204" i="2"/>
  <c r="P204" i="2" s="1"/>
  <c r="A204" i="2"/>
  <c r="O203" i="2"/>
  <c r="N203" i="2"/>
  <c r="A203" i="2"/>
  <c r="AC202" i="2"/>
  <c r="Q202" i="2"/>
  <c r="O202" i="2"/>
  <c r="N202" i="2"/>
  <c r="P202" i="2" s="1"/>
  <c r="A202" i="2"/>
  <c r="P201" i="2"/>
  <c r="O201" i="2"/>
  <c r="N201" i="2"/>
  <c r="Q201" i="2" s="1"/>
  <c r="A201" i="2"/>
  <c r="O200" i="2"/>
  <c r="N200" i="2"/>
  <c r="Q200" i="2" s="1"/>
  <c r="A200" i="2"/>
  <c r="AC199" i="2"/>
  <c r="Q199" i="2"/>
  <c r="P199" i="2"/>
  <c r="O199" i="2"/>
  <c r="N199" i="2"/>
  <c r="A199" i="2"/>
  <c r="O198" i="2"/>
  <c r="N198" i="2"/>
  <c r="A198" i="2"/>
  <c r="O197" i="2"/>
  <c r="N197" i="2"/>
  <c r="Q197" i="2" s="1"/>
  <c r="A197" i="2"/>
  <c r="O196" i="2"/>
  <c r="N196" i="2"/>
  <c r="AC196" i="2" s="1"/>
  <c r="A196" i="2"/>
  <c r="O195" i="2"/>
  <c r="N195" i="2"/>
  <c r="Q195" i="2" s="1"/>
  <c r="A195" i="2"/>
  <c r="O194" i="2"/>
  <c r="N194" i="2"/>
  <c r="A194" i="2"/>
  <c r="P193" i="2"/>
  <c r="O193" i="2"/>
  <c r="N193" i="2"/>
  <c r="Q193" i="2" s="1"/>
  <c r="A193" i="2"/>
  <c r="AC192" i="2"/>
  <c r="O192" i="2"/>
  <c r="N192" i="2"/>
  <c r="Q192" i="2" s="1"/>
  <c r="A192" i="2"/>
  <c r="O191" i="2"/>
  <c r="N191" i="2"/>
  <c r="Q191" i="2" s="1"/>
  <c r="A191" i="2"/>
  <c r="O190" i="2"/>
  <c r="N190" i="2"/>
  <c r="AC190" i="2" s="1"/>
  <c r="A190" i="2"/>
  <c r="O189" i="2"/>
  <c r="N189" i="2"/>
  <c r="P189" i="2" s="1"/>
  <c r="A189" i="2"/>
  <c r="O188" i="2"/>
  <c r="N188" i="2"/>
  <c r="Q188" i="2" s="1"/>
  <c r="A188" i="2"/>
  <c r="O187" i="2"/>
  <c r="N187" i="2"/>
  <c r="Q187" i="2" s="1"/>
  <c r="A187" i="2"/>
  <c r="AC186" i="2"/>
  <c r="Q186" i="2"/>
  <c r="O186" i="2"/>
  <c r="N186" i="2"/>
  <c r="P186" i="2" s="1"/>
  <c r="A186" i="2"/>
  <c r="O185" i="2"/>
  <c r="N185" i="2"/>
  <c r="A185" i="2"/>
  <c r="O184" i="2"/>
  <c r="N184" i="2"/>
  <c r="AC184" i="2" s="1"/>
  <c r="A184" i="2"/>
  <c r="O183" i="2"/>
  <c r="N183" i="2"/>
  <c r="AC183" i="2" s="1"/>
  <c r="A183" i="2"/>
  <c r="AC182" i="2"/>
  <c r="P182" i="2"/>
  <c r="O182" i="2"/>
  <c r="N182" i="2"/>
  <c r="Q182" i="2" s="1"/>
  <c r="A182" i="2"/>
  <c r="O181" i="2"/>
  <c r="N181" i="2"/>
  <c r="AC181" i="2" s="1"/>
  <c r="A181" i="2"/>
  <c r="Q180" i="2"/>
  <c r="O180" i="2"/>
  <c r="N180" i="2"/>
  <c r="P180" i="2" s="1"/>
  <c r="A180" i="2"/>
  <c r="O179" i="2"/>
  <c r="N179" i="2"/>
  <c r="Q179" i="2" s="1"/>
  <c r="A179" i="2"/>
  <c r="AC178" i="2"/>
  <c r="O178" i="2"/>
  <c r="N178" i="2"/>
  <c r="Q178" i="2" s="1"/>
  <c r="A178" i="2"/>
  <c r="O177" i="2"/>
  <c r="N177" i="2"/>
  <c r="AC177" i="2" s="1"/>
  <c r="A177" i="2"/>
  <c r="O176" i="2"/>
  <c r="N176" i="2"/>
  <c r="AC176" i="2" s="1"/>
  <c r="A176" i="2"/>
  <c r="O175" i="2"/>
  <c r="N175" i="2"/>
  <c r="AC175" i="2" s="1"/>
  <c r="A175" i="2"/>
  <c r="AC174" i="2"/>
  <c r="O174" i="2"/>
  <c r="N174" i="2"/>
  <c r="A174" i="2"/>
  <c r="O173" i="2"/>
  <c r="N173" i="2"/>
  <c r="Q173" i="2" s="1"/>
  <c r="A173" i="2"/>
  <c r="AC172" i="2"/>
  <c r="O172" i="2"/>
  <c r="N172" i="2"/>
  <c r="A172" i="2"/>
  <c r="O171" i="2"/>
  <c r="N171" i="2"/>
  <c r="AC171" i="2" s="1"/>
  <c r="A171" i="2"/>
  <c r="O170" i="2"/>
  <c r="N170" i="2"/>
  <c r="AC170" i="2" s="1"/>
  <c r="A170" i="2"/>
  <c r="O169" i="2"/>
  <c r="N169" i="2"/>
  <c r="P169" i="2" s="1"/>
  <c r="A169" i="2"/>
  <c r="AC168" i="2"/>
  <c r="P168" i="2"/>
  <c r="O168" i="2"/>
  <c r="N168" i="2"/>
  <c r="Q168" i="2" s="1"/>
  <c r="A168" i="2"/>
  <c r="O167" i="2"/>
  <c r="N167" i="2"/>
  <c r="P167" i="2" s="1"/>
  <c r="A167" i="2"/>
  <c r="AC166" i="2"/>
  <c r="Q166" i="2"/>
  <c r="P166" i="2"/>
  <c r="O166" i="2"/>
  <c r="N166" i="2"/>
  <c r="A166" i="2"/>
  <c r="O165" i="2"/>
  <c r="N165" i="2"/>
  <c r="A165" i="2"/>
  <c r="O164" i="2"/>
  <c r="N164" i="2"/>
  <c r="P164" i="2" s="1"/>
  <c r="A164" i="2"/>
  <c r="O163" i="2"/>
  <c r="N163" i="2"/>
  <c r="A163" i="2"/>
  <c r="O162" i="2"/>
  <c r="N162" i="2"/>
  <c r="AC162" i="2" s="1"/>
  <c r="A162" i="2"/>
  <c r="O161" i="2"/>
  <c r="N161" i="2"/>
  <c r="AC161" i="2" s="1"/>
  <c r="A161" i="2"/>
  <c r="O160" i="2"/>
  <c r="N160" i="2"/>
  <c r="A160" i="2"/>
  <c r="O159" i="2"/>
  <c r="N159" i="2"/>
  <c r="Q159" i="2" s="1"/>
  <c r="A159" i="2"/>
  <c r="O158" i="2"/>
  <c r="N158" i="2"/>
  <c r="A158" i="2"/>
  <c r="AC157" i="2"/>
  <c r="Q157" i="2"/>
  <c r="P157" i="2"/>
  <c r="O157" i="2"/>
  <c r="N157" i="2"/>
  <c r="A157" i="2"/>
  <c r="O156" i="2"/>
  <c r="N156" i="2"/>
  <c r="A156" i="2"/>
  <c r="O155" i="2"/>
  <c r="N155" i="2"/>
  <c r="P155" i="2" s="1"/>
  <c r="A155" i="2"/>
  <c r="O154" i="2"/>
  <c r="N154" i="2"/>
  <c r="Q154" i="2" s="1"/>
  <c r="A154" i="2"/>
  <c r="O153" i="2"/>
  <c r="N153" i="2"/>
  <c r="P153" i="2" s="1"/>
  <c r="A153" i="2"/>
  <c r="O152" i="2"/>
  <c r="N152" i="2"/>
  <c r="Q152" i="2" s="1"/>
  <c r="A152" i="2"/>
  <c r="P151" i="2"/>
  <c r="O151" i="2"/>
  <c r="N151" i="2"/>
  <c r="Q151" i="2" s="1"/>
  <c r="A151" i="2"/>
  <c r="O150" i="2"/>
  <c r="N150" i="2"/>
  <c r="Q150" i="2" s="1"/>
  <c r="A150" i="2"/>
  <c r="O149" i="2"/>
  <c r="N149" i="2"/>
  <c r="Q149" i="2" s="1"/>
  <c r="A149" i="2"/>
  <c r="O148" i="2"/>
  <c r="N148" i="2"/>
  <c r="A148" i="2"/>
  <c r="O147" i="2"/>
  <c r="N147" i="2"/>
  <c r="Q147" i="2" s="1"/>
  <c r="A147" i="2"/>
  <c r="O146" i="2"/>
  <c r="N146" i="2"/>
  <c r="AC146" i="2" s="1"/>
  <c r="A146" i="2"/>
  <c r="O145" i="2"/>
  <c r="N145" i="2"/>
  <c r="AC145" i="2" s="1"/>
  <c r="A145" i="2"/>
  <c r="AC144" i="2"/>
  <c r="Q144" i="2"/>
  <c r="P144" i="2"/>
  <c r="O144" i="2"/>
  <c r="N144" i="2"/>
  <c r="A144" i="2"/>
  <c r="O143" i="2"/>
  <c r="N143" i="2"/>
  <c r="A143" i="2"/>
  <c r="O142" i="2"/>
  <c r="N142" i="2"/>
  <c r="Q142" i="2" s="1"/>
  <c r="A142" i="2"/>
  <c r="AC141" i="2"/>
  <c r="O141" i="2"/>
  <c r="N141" i="2"/>
  <c r="Q141" i="2" s="1"/>
  <c r="A141" i="2"/>
  <c r="O140" i="2"/>
  <c r="N140" i="2"/>
  <c r="P140" i="2" s="1"/>
  <c r="A140" i="2"/>
  <c r="AC139" i="2"/>
  <c r="Q139" i="2"/>
  <c r="P139" i="2"/>
  <c r="O139" i="2"/>
  <c r="N139" i="2"/>
  <c r="A139" i="2"/>
  <c r="AC138" i="2"/>
  <c r="P138" i="2"/>
  <c r="O138" i="2"/>
  <c r="N138" i="2"/>
  <c r="Q138" i="2" s="1"/>
  <c r="A138" i="2"/>
  <c r="O137" i="2"/>
  <c r="N137" i="2"/>
  <c r="Q137" i="2" s="1"/>
  <c r="A137" i="2"/>
  <c r="O136" i="2"/>
  <c r="N136" i="2"/>
  <c r="A136" i="2"/>
  <c r="AC135" i="2"/>
  <c r="O135" i="2"/>
  <c r="N135" i="2"/>
  <c r="Q135" i="2" s="1"/>
  <c r="A135" i="2"/>
  <c r="O134" i="2"/>
  <c r="N134" i="2"/>
  <c r="P134" i="2" s="1"/>
  <c r="A134" i="2"/>
  <c r="AC133" i="2"/>
  <c r="P133" i="2"/>
  <c r="O133" i="2"/>
  <c r="N133" i="2"/>
  <c r="Q133" i="2" s="1"/>
  <c r="A133" i="2"/>
  <c r="O132" i="2"/>
  <c r="N132" i="2"/>
  <c r="AC132" i="2" s="1"/>
  <c r="A132" i="2"/>
  <c r="O131" i="2"/>
  <c r="N131" i="2"/>
  <c r="P131" i="2" s="1"/>
  <c r="A131" i="2"/>
  <c r="O130" i="2"/>
  <c r="N130" i="2"/>
  <c r="AC130" i="2" s="1"/>
  <c r="A130" i="2"/>
  <c r="O129" i="2"/>
  <c r="N129" i="2"/>
  <c r="P129" i="2" s="1"/>
  <c r="A129" i="2"/>
  <c r="O128" i="2"/>
  <c r="N128" i="2"/>
  <c r="Q128" i="2" s="1"/>
  <c r="A128" i="2"/>
  <c r="O127" i="2"/>
  <c r="N127" i="2"/>
  <c r="P127" i="2" s="1"/>
  <c r="A127" i="2"/>
  <c r="AC126" i="2"/>
  <c r="Q126" i="2"/>
  <c r="O126" i="2"/>
  <c r="N126" i="2"/>
  <c r="P126" i="2" s="1"/>
  <c r="A126" i="2"/>
  <c r="O125" i="2"/>
  <c r="N125" i="2"/>
  <c r="A125" i="2"/>
  <c r="AC124" i="2"/>
  <c r="Q124" i="2"/>
  <c r="O124" i="2"/>
  <c r="N124" i="2"/>
  <c r="P124" i="2" s="1"/>
  <c r="A124" i="2"/>
  <c r="O123" i="2"/>
  <c r="N123" i="2"/>
  <c r="P123" i="2" s="1"/>
  <c r="A123" i="2"/>
  <c r="O122" i="2"/>
  <c r="N122" i="2"/>
  <c r="Q122" i="2" s="1"/>
  <c r="A122" i="2"/>
  <c r="O121" i="2"/>
  <c r="N121" i="2"/>
  <c r="AC121" i="2" s="1"/>
  <c r="A121" i="2"/>
  <c r="O120" i="2"/>
  <c r="N120" i="2"/>
  <c r="P120" i="2" s="1"/>
  <c r="A120" i="2"/>
  <c r="O119" i="2"/>
  <c r="N119" i="2"/>
  <c r="AC119" i="2" s="1"/>
  <c r="A119" i="2"/>
  <c r="O118" i="2"/>
  <c r="N118" i="2"/>
  <c r="P118" i="2" s="1"/>
  <c r="A118" i="2"/>
  <c r="AC117" i="2"/>
  <c r="O117" i="2"/>
  <c r="N117" i="2"/>
  <c r="P117" i="2" s="1"/>
  <c r="A117" i="2"/>
  <c r="O116" i="2"/>
  <c r="N116" i="2"/>
  <c r="A116" i="2"/>
  <c r="Q115" i="2"/>
  <c r="P115" i="2"/>
  <c r="O115" i="2"/>
  <c r="N115" i="2"/>
  <c r="AC115" i="2" s="1"/>
  <c r="A115" i="2"/>
  <c r="AC114" i="2"/>
  <c r="P114" i="2"/>
  <c r="O114" i="2"/>
  <c r="N114" i="2"/>
  <c r="Q114" i="2" s="1"/>
  <c r="A114" i="2"/>
  <c r="AC113" i="2"/>
  <c r="P113" i="2"/>
  <c r="O113" i="2"/>
  <c r="N113" i="2"/>
  <c r="Q113" i="2" s="1"/>
  <c r="A113" i="2"/>
  <c r="O112" i="2"/>
  <c r="N112" i="2"/>
  <c r="AC112" i="2" s="1"/>
  <c r="A112" i="2"/>
  <c r="O111" i="2"/>
  <c r="N111" i="2"/>
  <c r="P111" i="2" s="1"/>
  <c r="A111" i="2"/>
  <c r="O110" i="2"/>
  <c r="N110" i="2"/>
  <c r="Q110" i="2" s="1"/>
  <c r="A110" i="2"/>
  <c r="O109" i="2"/>
  <c r="N109" i="2"/>
  <c r="A109" i="2"/>
  <c r="O108" i="2"/>
  <c r="N108" i="2"/>
  <c r="Q108" i="2" s="1"/>
  <c r="A108" i="2"/>
  <c r="O107" i="2"/>
  <c r="N107" i="2"/>
  <c r="AC107" i="2" s="1"/>
  <c r="A107" i="2"/>
  <c r="AC106" i="2"/>
  <c r="Q106" i="2"/>
  <c r="P106" i="2"/>
  <c r="O106" i="2"/>
  <c r="N106" i="2"/>
  <c r="A106" i="2"/>
  <c r="O105" i="2"/>
  <c r="N105" i="2"/>
  <c r="Q105" i="2" s="1"/>
  <c r="A105" i="2"/>
  <c r="O104" i="2"/>
  <c r="N104" i="2"/>
  <c r="Q104" i="2" s="1"/>
  <c r="A104" i="2"/>
  <c r="P103" i="2"/>
  <c r="O103" i="2"/>
  <c r="N103" i="2"/>
  <c r="A103" i="2"/>
  <c r="O102" i="2"/>
  <c r="N102" i="2"/>
  <c r="Q102" i="2" s="1"/>
  <c r="A102" i="2"/>
  <c r="AC101" i="2"/>
  <c r="Q101" i="2"/>
  <c r="P101" i="2"/>
  <c r="O101" i="2"/>
  <c r="N101" i="2"/>
  <c r="A101" i="2"/>
  <c r="O100" i="2"/>
  <c r="N100" i="2"/>
  <c r="Q100" i="2" s="1"/>
  <c r="A100" i="2"/>
  <c r="O99" i="2"/>
  <c r="N99" i="2"/>
  <c r="AC99" i="2" s="1"/>
  <c r="A99" i="2"/>
  <c r="O98" i="2"/>
  <c r="N98" i="2"/>
  <c r="AC98" i="2" s="1"/>
  <c r="A98" i="2"/>
  <c r="O97" i="2"/>
  <c r="N97" i="2"/>
  <c r="Q97" i="2" s="1"/>
  <c r="A97" i="2"/>
  <c r="O96" i="2"/>
  <c r="N96" i="2"/>
  <c r="A96" i="2"/>
  <c r="O95" i="2"/>
  <c r="N95" i="2"/>
  <c r="P95" i="2" s="1"/>
  <c r="A95" i="2"/>
  <c r="O94" i="2"/>
  <c r="N94" i="2"/>
  <c r="AC94" i="2" s="1"/>
  <c r="A94" i="2"/>
  <c r="O93" i="2"/>
  <c r="N93" i="2"/>
  <c r="P93" i="2" s="1"/>
  <c r="A93" i="2"/>
  <c r="O92" i="2"/>
  <c r="N92" i="2"/>
  <c r="AC92" i="2" s="1"/>
  <c r="A92" i="2"/>
  <c r="AC91" i="2"/>
  <c r="O91" i="2"/>
  <c r="N91" i="2"/>
  <c r="Q91" i="2" s="1"/>
  <c r="A91" i="2"/>
  <c r="O90" i="2"/>
  <c r="N90" i="2"/>
  <c r="P90" i="2" s="1"/>
  <c r="A90" i="2"/>
  <c r="Q89" i="2"/>
  <c r="O89" i="2"/>
  <c r="N89" i="2"/>
  <c r="A89" i="2"/>
  <c r="O88" i="2"/>
  <c r="N88" i="2"/>
  <c r="Q88" i="2" s="1"/>
  <c r="A88" i="2"/>
  <c r="AC87" i="2"/>
  <c r="P87" i="2"/>
  <c r="O87" i="2"/>
  <c r="N87" i="2"/>
  <c r="Q87" i="2" s="1"/>
  <c r="A87" i="2"/>
  <c r="O86" i="2"/>
  <c r="N86" i="2"/>
  <c r="P86" i="2" s="1"/>
  <c r="A86" i="2"/>
  <c r="Q85" i="2"/>
  <c r="P85" i="2"/>
  <c r="O85" i="2"/>
  <c r="N85" i="2"/>
  <c r="AC85" i="2" s="1"/>
  <c r="A85" i="2"/>
  <c r="O84" i="2"/>
  <c r="N84" i="2"/>
  <c r="A84" i="2"/>
  <c r="O83" i="2"/>
  <c r="N83" i="2"/>
  <c r="Q83" i="2" s="1"/>
  <c r="A83" i="2"/>
  <c r="O82" i="2"/>
  <c r="N82" i="2"/>
  <c r="P82" i="2" s="1"/>
  <c r="A82" i="2"/>
  <c r="O81" i="2"/>
  <c r="N81" i="2"/>
  <c r="AC81" i="2" s="1"/>
  <c r="A81" i="2"/>
  <c r="O80" i="2"/>
  <c r="N80" i="2"/>
  <c r="A80" i="2"/>
  <c r="O79" i="2"/>
  <c r="N79" i="2"/>
  <c r="Q79" i="2" s="1"/>
  <c r="A79" i="2"/>
  <c r="O78" i="2"/>
  <c r="N78" i="2"/>
  <c r="A78" i="2"/>
  <c r="O77" i="2"/>
  <c r="N77" i="2"/>
  <c r="Q77" i="2" s="1"/>
  <c r="A77" i="2"/>
  <c r="O76" i="2"/>
  <c r="N76" i="2"/>
  <c r="Q76" i="2" s="1"/>
  <c r="A76" i="2"/>
  <c r="O75" i="2"/>
  <c r="N75" i="2"/>
  <c r="A75" i="2"/>
  <c r="O74" i="2"/>
  <c r="N74" i="2"/>
  <c r="AC74" i="2" s="1"/>
  <c r="A74" i="2"/>
  <c r="AC73" i="2"/>
  <c r="O73" i="2"/>
  <c r="N73" i="2"/>
  <c r="A73" i="2"/>
  <c r="AC72" i="2"/>
  <c r="Q72" i="2"/>
  <c r="P72" i="2"/>
  <c r="O72" i="2"/>
  <c r="N72" i="2"/>
  <c r="A72" i="2"/>
  <c r="Q71" i="2"/>
  <c r="P71" i="2"/>
  <c r="O71" i="2"/>
  <c r="N71" i="2"/>
  <c r="AC71" i="2" s="1"/>
  <c r="A71" i="2"/>
  <c r="O70" i="2"/>
  <c r="N70" i="2"/>
  <c r="P70" i="2" s="1"/>
  <c r="A70" i="2"/>
  <c r="AC69" i="2"/>
  <c r="Q69" i="2"/>
  <c r="P69" i="2"/>
  <c r="O69" i="2"/>
  <c r="N69" i="2"/>
  <c r="A69" i="2"/>
  <c r="O68" i="2"/>
  <c r="N68" i="2"/>
  <c r="P68" i="2" s="1"/>
  <c r="A68" i="2"/>
  <c r="AC67" i="2"/>
  <c r="Q67" i="2"/>
  <c r="P67" i="2"/>
  <c r="O67" i="2"/>
  <c r="N67" i="2"/>
  <c r="A67" i="2"/>
  <c r="O66" i="2"/>
  <c r="N66" i="2"/>
  <c r="Q66" i="2" s="1"/>
  <c r="A66" i="2"/>
  <c r="O65" i="2"/>
  <c r="N65" i="2"/>
  <c r="Q65" i="2" s="1"/>
  <c r="A65" i="2"/>
  <c r="O64" i="2"/>
  <c r="N64" i="2"/>
  <c r="AC64" i="2" s="1"/>
  <c r="A64" i="2"/>
  <c r="O63" i="2"/>
  <c r="N63" i="2"/>
  <c r="Q63" i="2" s="1"/>
  <c r="A63" i="2"/>
  <c r="AC62" i="2"/>
  <c r="Q62" i="2"/>
  <c r="P62" i="2"/>
  <c r="O62" i="2"/>
  <c r="N62" i="2"/>
  <c r="A62" i="2"/>
  <c r="O61" i="2"/>
  <c r="N61" i="2"/>
  <c r="Q61" i="2" s="1"/>
  <c r="A61" i="2"/>
  <c r="AC60" i="2"/>
  <c r="Q60" i="2"/>
  <c r="P60" i="2"/>
  <c r="O60" i="2"/>
  <c r="N60" i="2"/>
  <c r="A60" i="2"/>
  <c r="Q59" i="2"/>
  <c r="P59" i="2"/>
  <c r="O59" i="2"/>
  <c r="N59" i="2"/>
  <c r="AC59" i="2" s="1"/>
  <c r="A59" i="2"/>
  <c r="O58" i="2"/>
  <c r="N58" i="2"/>
  <c r="P58" i="2" s="1"/>
  <c r="A58" i="2"/>
  <c r="O57" i="2"/>
  <c r="N57" i="2"/>
  <c r="AC57" i="2" s="1"/>
  <c r="A57" i="2"/>
  <c r="O56" i="2"/>
  <c r="N56" i="2"/>
  <c r="Q56" i="2" s="1"/>
  <c r="A56" i="2"/>
  <c r="P55" i="2"/>
  <c r="O55" i="2"/>
  <c r="N55" i="2"/>
  <c r="A55" i="2"/>
  <c r="O54" i="2"/>
  <c r="N54" i="2"/>
  <c r="Q54" i="2" s="1"/>
  <c r="A54" i="2"/>
  <c r="O53" i="2"/>
  <c r="N53" i="2"/>
  <c r="Q53" i="2" s="1"/>
  <c r="A53" i="2"/>
  <c r="O52" i="2"/>
  <c r="N52" i="2"/>
  <c r="AC52" i="2" s="1"/>
  <c r="A52" i="2"/>
  <c r="O51" i="2"/>
  <c r="N51" i="2"/>
  <c r="P51" i="2" s="1"/>
  <c r="A51" i="2"/>
  <c r="Q50" i="2"/>
  <c r="P50" i="2"/>
  <c r="O50" i="2"/>
  <c r="N50" i="2"/>
  <c r="AC50" i="2" s="1"/>
  <c r="A50" i="2"/>
  <c r="Q49" i="2"/>
  <c r="O49" i="2"/>
  <c r="N49" i="2"/>
  <c r="A49" i="2"/>
  <c r="O48" i="2"/>
  <c r="N48" i="2"/>
  <c r="Q48" i="2" s="1"/>
  <c r="A48" i="2"/>
  <c r="O47" i="2"/>
  <c r="N47" i="2"/>
  <c r="Q47" i="2" s="1"/>
  <c r="A47" i="2"/>
  <c r="O46" i="2"/>
  <c r="N46" i="2"/>
  <c r="Q46" i="2" s="1"/>
  <c r="A46" i="2"/>
  <c r="AC45" i="2"/>
  <c r="P45" i="2"/>
  <c r="O45" i="2"/>
  <c r="N45" i="2"/>
  <c r="Q45" i="2" s="1"/>
  <c r="A45" i="2"/>
  <c r="O44" i="2"/>
  <c r="N44" i="2"/>
  <c r="Q44" i="2" s="1"/>
  <c r="A44" i="2"/>
  <c r="O43" i="2"/>
  <c r="N43" i="2"/>
  <c r="A43" i="2"/>
  <c r="O42" i="2"/>
  <c r="N42" i="2"/>
  <c r="A42" i="2"/>
  <c r="O41" i="2"/>
  <c r="N41" i="2"/>
  <c r="P41" i="2" s="1"/>
  <c r="A41" i="2"/>
  <c r="O40" i="2"/>
  <c r="N40" i="2"/>
  <c r="AC40" i="2" s="1"/>
  <c r="A40" i="2"/>
  <c r="O39" i="2"/>
  <c r="N39" i="2"/>
  <c r="P39" i="2" s="1"/>
  <c r="A39" i="2"/>
  <c r="O38" i="2"/>
  <c r="N38" i="2"/>
  <c r="Q38" i="2" s="1"/>
  <c r="A38" i="2"/>
  <c r="AC37" i="2"/>
  <c r="O37" i="2"/>
  <c r="N37" i="2"/>
  <c r="Q37" i="2" s="1"/>
  <c r="A37" i="2"/>
  <c r="O36" i="2"/>
  <c r="N36" i="2"/>
  <c r="P36" i="2" s="1"/>
  <c r="A36" i="2"/>
  <c r="O35" i="2"/>
  <c r="N35" i="2"/>
  <c r="Q35" i="2" s="1"/>
  <c r="A35" i="2"/>
  <c r="O34" i="2"/>
  <c r="N34" i="2"/>
  <c r="Q34" i="2" s="1"/>
  <c r="A34" i="2"/>
  <c r="P33" i="2"/>
  <c r="O33" i="2"/>
  <c r="N33" i="2"/>
  <c r="Q33" i="2" s="1"/>
  <c r="A33" i="2"/>
  <c r="Q32" i="2"/>
  <c r="O32" i="2"/>
  <c r="N32" i="2"/>
  <c r="P32" i="2" s="1"/>
  <c r="A32" i="2"/>
  <c r="AC31" i="2"/>
  <c r="Q31" i="2"/>
  <c r="P31" i="2"/>
  <c r="O31" i="2"/>
  <c r="N31" i="2"/>
  <c r="A31" i="2"/>
  <c r="O30" i="2"/>
  <c r="N30" i="2"/>
  <c r="A30" i="2"/>
  <c r="AC29" i="2"/>
  <c r="Q29" i="2"/>
  <c r="P29" i="2"/>
  <c r="O29" i="2"/>
  <c r="N29" i="2"/>
  <c r="A29" i="2"/>
  <c r="O28" i="2"/>
  <c r="N28" i="2"/>
  <c r="A28" i="2"/>
  <c r="O27" i="2"/>
  <c r="N27" i="2"/>
  <c r="Q27" i="2" s="1"/>
  <c r="A27" i="2"/>
  <c r="O26" i="2"/>
  <c r="N26" i="2"/>
  <c r="P26" i="2" s="1"/>
  <c r="A26" i="2"/>
  <c r="P25" i="2"/>
  <c r="O25" i="2"/>
  <c r="N25" i="2"/>
  <c r="Q25" i="2" s="1"/>
  <c r="A25" i="2"/>
  <c r="O24" i="2"/>
  <c r="N24" i="2"/>
  <c r="AC24" i="2" s="1"/>
  <c r="A24" i="2"/>
  <c r="O23" i="2"/>
  <c r="N23" i="2"/>
  <c r="AC23" i="2" s="1"/>
  <c r="A23" i="2"/>
  <c r="AC22" i="2"/>
  <c r="O22" i="2"/>
  <c r="N22" i="2"/>
  <c r="Q22" i="2" s="1"/>
  <c r="A22" i="2"/>
  <c r="O21" i="2"/>
  <c r="N21" i="2"/>
  <c r="AC21" i="2" s="1"/>
  <c r="A21" i="2"/>
  <c r="Q20" i="2"/>
  <c r="O20" i="2"/>
  <c r="N20" i="2"/>
  <c r="P20" i="2" s="1"/>
  <c r="A20" i="2"/>
  <c r="O19" i="2"/>
  <c r="N19" i="2"/>
  <c r="P19" i="2" s="1"/>
  <c r="A19" i="2"/>
  <c r="O18" i="2"/>
  <c r="N18" i="2"/>
  <c r="A18" i="2"/>
  <c r="AC17" i="2"/>
  <c r="Q17" i="2"/>
  <c r="O17" i="2"/>
  <c r="N17" i="2"/>
  <c r="P17" i="2" s="1"/>
  <c r="A17" i="2"/>
  <c r="O16" i="2"/>
  <c r="N16" i="2"/>
  <c r="Q16" i="2" s="1"/>
  <c r="A16" i="2"/>
  <c r="O15" i="2"/>
  <c r="N15" i="2"/>
  <c r="Q15" i="2" s="1"/>
  <c r="A15" i="2"/>
  <c r="O14" i="2"/>
  <c r="N14" i="2"/>
  <c r="P14" i="2" s="1"/>
  <c r="A14" i="2"/>
  <c r="AC13" i="2"/>
  <c r="AC12" i="2"/>
  <c r="AC11" i="2"/>
  <c r="AC10" i="2"/>
  <c r="AC9" i="2"/>
  <c r="AC8" i="2"/>
  <c r="AC7" i="2"/>
  <c r="AC6" i="2"/>
  <c r="P6" i="2"/>
  <c r="AC5" i="2"/>
  <c r="P5" i="2"/>
  <c r="AC4" i="2"/>
  <c r="P4" i="2"/>
  <c r="AC3" i="2"/>
  <c r="P3" i="2"/>
  <c r="AC2" i="2"/>
  <c r="P2" i="2"/>
  <c r="Q43" i="2" l="1"/>
  <c r="P43" i="2"/>
  <c r="AC255" i="2"/>
  <c r="P255" i="2"/>
  <c r="Q346" i="2"/>
  <c r="P346" i="2"/>
  <c r="AC409" i="2"/>
  <c r="Q409" i="2"/>
  <c r="AC484" i="2"/>
  <c r="Q484" i="2"/>
  <c r="AC108" i="2"/>
  <c r="Q131" i="2"/>
  <c r="Q145" i="2"/>
  <c r="Q170" i="2"/>
  <c r="P195" i="2"/>
  <c r="P208" i="2"/>
  <c r="P222" i="2"/>
  <c r="P231" i="2"/>
  <c r="P354" i="2"/>
  <c r="AC443" i="2"/>
  <c r="Q443" i="2"/>
  <c r="AC472" i="2"/>
  <c r="AC159" i="2"/>
  <c r="Q164" i="2"/>
  <c r="AC188" i="2"/>
  <c r="Q218" i="2"/>
  <c r="AC231" i="2"/>
  <c r="Q246" i="2"/>
  <c r="AC253" i="2"/>
  <c r="AC352" i="2"/>
  <c r="P384" i="2"/>
  <c r="P431" i="2"/>
  <c r="Q411" i="2"/>
  <c r="AC411" i="2"/>
  <c r="AC53" i="2"/>
  <c r="AC76" i="2"/>
  <c r="P79" i="2"/>
  <c r="Q81" i="2"/>
  <c r="AC83" i="2"/>
  <c r="P97" i="2"/>
  <c r="Q120" i="2"/>
  <c r="AC122" i="2"/>
  <c r="Q190" i="2"/>
  <c r="P197" i="2"/>
  <c r="Q248" i="2"/>
  <c r="Q255" i="2"/>
  <c r="P298" i="2"/>
  <c r="Q331" i="2"/>
  <c r="P331" i="2"/>
  <c r="P364" i="2"/>
  <c r="Q377" i="2"/>
  <c r="P377" i="2"/>
  <c r="P409" i="2"/>
  <c r="P484" i="2"/>
  <c r="Q51" i="2"/>
  <c r="AC65" i="2"/>
  <c r="P88" i="2"/>
  <c r="Q90" i="2"/>
  <c r="P162" i="2"/>
  <c r="AC195" i="2"/>
  <c r="AC204" i="2"/>
  <c r="Q224" i="2"/>
  <c r="P251" i="2"/>
  <c r="Q288" i="2"/>
  <c r="P316" i="2"/>
  <c r="P318" i="2"/>
  <c r="AC377" i="2"/>
  <c r="Q393" i="2"/>
  <c r="P393" i="2"/>
  <c r="Q429" i="2"/>
  <c r="P443" i="2"/>
  <c r="AC450" i="2"/>
  <c r="Q460" i="2"/>
  <c r="Q470" i="2"/>
  <c r="Q478" i="2"/>
  <c r="P478" i="2"/>
  <c r="Q162" i="2"/>
  <c r="AC164" i="2"/>
  <c r="Q211" i="2"/>
  <c r="AC213" i="2"/>
  <c r="AC246" i="2"/>
  <c r="Q251" i="2"/>
  <c r="Q316" i="2"/>
  <c r="AC318" i="2"/>
  <c r="Q324" i="2"/>
  <c r="AC324" i="2"/>
  <c r="Q358" i="2"/>
  <c r="P358" i="2"/>
  <c r="Q384" i="2"/>
  <c r="AC414" i="2"/>
  <c r="AC429" i="2"/>
  <c r="Q431" i="2"/>
  <c r="Q441" i="2"/>
  <c r="P441" i="2"/>
  <c r="AC458" i="2"/>
  <c r="AC470" i="2"/>
  <c r="P344" i="2"/>
  <c r="AC344" i="2"/>
  <c r="AC43" i="2"/>
  <c r="P229" i="2"/>
  <c r="Q240" i="2"/>
  <c r="AC346" i="2"/>
  <c r="P360" i="2"/>
  <c r="AC360" i="2"/>
  <c r="AC14" i="2"/>
  <c r="Q19" i="2"/>
  <c r="AC79" i="2"/>
  <c r="Q95" i="2"/>
  <c r="Q109" i="2"/>
  <c r="AC109" i="2"/>
  <c r="P213" i="2"/>
  <c r="AC303" i="2"/>
  <c r="Q303" i="2"/>
  <c r="Q99" i="2"/>
  <c r="AC97" i="2"/>
  <c r="P211" i="2"/>
  <c r="P311" i="2"/>
  <c r="Q41" i="2"/>
  <c r="Q86" i="2"/>
  <c r="AC197" i="2"/>
  <c r="Q414" i="2"/>
  <c r="AC19" i="2"/>
  <c r="AC41" i="2"/>
  <c r="AC86" i="2"/>
  <c r="AC88" i="2"/>
  <c r="AC90" i="2"/>
  <c r="AC95" i="2"/>
  <c r="Q39" i="2"/>
  <c r="P57" i="2"/>
  <c r="AC63" i="2"/>
  <c r="Q70" i="2"/>
  <c r="Q75" i="2"/>
  <c r="AC75" i="2"/>
  <c r="P107" i="2"/>
  <c r="P109" i="2"/>
  <c r="P119" i="2"/>
  <c r="P121" i="2"/>
  <c r="P130" i="2"/>
  <c r="AC137" i="2"/>
  <c r="P146" i="2"/>
  <c r="P171" i="2"/>
  <c r="P176" i="2"/>
  <c r="P191" i="2"/>
  <c r="P216" i="2"/>
  <c r="Q216" i="2"/>
  <c r="Q236" i="2"/>
  <c r="P249" i="2"/>
  <c r="Q256" i="2"/>
  <c r="Q286" i="2"/>
  <c r="Q307" i="2"/>
  <c r="AC307" i="2"/>
  <c r="P309" i="2"/>
  <c r="P345" i="2"/>
  <c r="AC353" i="2"/>
  <c r="Q353" i="2"/>
  <c r="Q391" i="2"/>
  <c r="P391" i="2"/>
  <c r="AC393" i="2"/>
  <c r="P410" i="2"/>
  <c r="P446" i="2"/>
  <c r="AC478" i="2"/>
  <c r="Q499" i="2"/>
  <c r="AC499" i="2"/>
  <c r="P22" i="2"/>
  <c r="P27" i="2"/>
  <c r="P47" i="2"/>
  <c r="Q55" i="2"/>
  <c r="AC55" i="2"/>
  <c r="Q57" i="2"/>
  <c r="Q82" i="2"/>
  <c r="Q107" i="2"/>
  <c r="Q119" i="2"/>
  <c r="Q121" i="2"/>
  <c r="P128" i="2"/>
  <c r="Q130" i="2"/>
  <c r="P135" i="2"/>
  <c r="Q146" i="2"/>
  <c r="Q169" i="2"/>
  <c r="Q171" i="2"/>
  <c r="Q176" i="2"/>
  <c r="P184" i="2"/>
  <c r="AC191" i="2"/>
  <c r="AC200" i="2"/>
  <c r="P207" i="2"/>
  <c r="Q221" i="2"/>
  <c r="P223" i="2"/>
  <c r="AC236" i="2"/>
  <c r="AC249" i="2"/>
  <c r="AC256" i="2"/>
  <c r="P264" i="2"/>
  <c r="P270" i="2"/>
  <c r="Q275" i="2"/>
  <c r="AC282" i="2"/>
  <c r="P291" i="2"/>
  <c r="Q345" i="2"/>
  <c r="AC358" i="2"/>
  <c r="P380" i="2"/>
  <c r="Q410" i="2"/>
  <c r="Q415" i="2"/>
  <c r="P415" i="2"/>
  <c r="AC441" i="2"/>
  <c r="Q446" i="2"/>
  <c r="Q459" i="2"/>
  <c r="P459" i="2"/>
  <c r="AC15" i="2"/>
  <c r="AC27" i="2"/>
  <c r="P37" i="2"/>
  <c r="AC47" i="2"/>
  <c r="P75" i="2"/>
  <c r="Q117" i="2"/>
  <c r="AC128" i="2"/>
  <c r="AC149" i="2"/>
  <c r="AC155" i="2"/>
  <c r="AC167" i="2"/>
  <c r="Q184" i="2"/>
  <c r="Q189" i="2"/>
  <c r="Q196" i="2"/>
  <c r="Q207" i="2"/>
  <c r="Q219" i="2"/>
  <c r="AC221" i="2"/>
  <c r="P232" i="2"/>
  <c r="AC264" i="2"/>
  <c r="Q270" i="2"/>
  <c r="P273" i="2"/>
  <c r="P289" i="2"/>
  <c r="AC291" i="2"/>
  <c r="AC305" i="2"/>
  <c r="Q305" i="2"/>
  <c r="P307" i="2"/>
  <c r="P327" i="2"/>
  <c r="P351" i="2"/>
  <c r="Q351" i="2"/>
  <c r="P353" i="2"/>
  <c r="P361" i="2"/>
  <c r="AC385" i="2"/>
  <c r="Q385" i="2"/>
  <c r="P385" i="2"/>
  <c r="AC391" i="2"/>
  <c r="Q405" i="2"/>
  <c r="P413" i="2"/>
  <c r="AC413" i="2"/>
  <c r="AC454" i="2"/>
  <c r="Q454" i="2"/>
  <c r="Q469" i="2"/>
  <c r="P499" i="2"/>
  <c r="Q158" i="2"/>
  <c r="AC158" i="2"/>
  <c r="Q257" i="2"/>
  <c r="P257" i="2"/>
  <c r="P381" i="2"/>
  <c r="AC381" i="2"/>
  <c r="Q497" i="2"/>
  <c r="P497" i="2"/>
  <c r="P35" i="2"/>
  <c r="P53" i="2"/>
  <c r="P81" i="2"/>
  <c r="P83" i="2"/>
  <c r="P99" i="2"/>
  <c r="P108" i="2"/>
  <c r="P122" i="2"/>
  <c r="Q140" i="2"/>
  <c r="P145" i="2"/>
  <c r="P147" i="2"/>
  <c r="P170" i="2"/>
  <c r="P240" i="2"/>
  <c r="AC257" i="2"/>
  <c r="P269" i="2"/>
  <c r="AC276" i="2"/>
  <c r="Q341" i="2"/>
  <c r="AC369" i="2"/>
  <c r="P372" i="2"/>
  <c r="Q381" i="2"/>
  <c r="P445" i="2"/>
  <c r="P477" i="2"/>
  <c r="AC497" i="2"/>
  <c r="Q14" i="2"/>
  <c r="Q21" i="2"/>
  <c r="P65" i="2"/>
  <c r="Q111" i="2"/>
  <c r="Q125" i="2"/>
  <c r="P125" i="2"/>
  <c r="P188" i="2"/>
  <c r="Q204" i="2"/>
  <c r="AC208" i="2"/>
  <c r="AC220" i="2"/>
  <c r="AC222" i="2"/>
  <c r="P224" i="2"/>
  <c r="Q227" i="2"/>
  <c r="AC227" i="2"/>
  <c r="Q229" i="2"/>
  <c r="P238" i="2"/>
  <c r="Q238" i="2"/>
  <c r="Q253" i="2"/>
  <c r="AC296" i="2"/>
  <c r="Q296" i="2"/>
  <c r="Q298" i="2"/>
  <c r="P326" i="2"/>
  <c r="AC326" i="2"/>
  <c r="Q328" i="2"/>
  <c r="P352" i="2"/>
  <c r="Q354" i="2"/>
  <c r="P362" i="2"/>
  <c r="Q450" i="2"/>
  <c r="P460" i="2"/>
  <c r="E59" i="3"/>
  <c r="F29" i="4"/>
  <c r="G59" i="3"/>
  <c r="F60" i="3"/>
  <c r="F27" i="4"/>
  <c r="F35" i="3"/>
  <c r="G35" i="3"/>
  <c r="E41" i="3"/>
  <c r="F62" i="3"/>
  <c r="E17" i="4"/>
  <c r="E18" i="3"/>
  <c r="H35" i="3"/>
  <c r="F41" i="3"/>
  <c r="G29" i="4"/>
  <c r="G41" i="3"/>
  <c r="E60" i="3"/>
  <c r="E27" i="4"/>
  <c r="H60" i="3"/>
  <c r="D16" i="4"/>
  <c r="E20" i="4"/>
  <c r="G31" i="4"/>
  <c r="E35" i="4"/>
  <c r="E61" i="3"/>
  <c r="G35" i="4"/>
  <c r="F32" i="4"/>
  <c r="F31" i="4"/>
  <c r="F28" i="4"/>
  <c r="F34" i="4"/>
  <c r="F30" i="4"/>
  <c r="E33" i="4"/>
  <c r="F33" i="4"/>
  <c r="F7" i="3"/>
  <c r="G7" i="3"/>
  <c r="H7" i="3"/>
  <c r="I7" i="3"/>
  <c r="G5" i="5"/>
  <c r="E12" i="3"/>
  <c r="F12" i="3"/>
  <c r="G12" i="3"/>
  <c r="F9" i="3"/>
  <c r="I12" i="3"/>
  <c r="AC30" i="2"/>
  <c r="P30" i="2"/>
  <c r="AC42" i="2"/>
  <c r="P42" i="2"/>
  <c r="AC61" i="2"/>
  <c r="P61" i="2"/>
  <c r="AC89" i="2"/>
  <c r="P89" i="2"/>
  <c r="Q93" i="2"/>
  <c r="AC93" i="2"/>
  <c r="P105" i="2"/>
  <c r="AC105" i="2"/>
  <c r="P174" i="2"/>
  <c r="Q174" i="2"/>
  <c r="AC233" i="2"/>
  <c r="P233" i="2"/>
  <c r="Q261" i="2"/>
  <c r="AC261" i="2"/>
  <c r="P261" i="2"/>
  <c r="Q268" i="2"/>
  <c r="AC268" i="2"/>
  <c r="Q272" i="2"/>
  <c r="AC272" i="2"/>
  <c r="P272" i="2"/>
  <c r="AC386" i="2"/>
  <c r="Q386" i="2"/>
  <c r="P406" i="2"/>
  <c r="AC406" i="2"/>
  <c r="Q406" i="2"/>
  <c r="Q437" i="2"/>
  <c r="P437" i="2"/>
  <c r="AC437" i="2"/>
  <c r="Q442" i="2"/>
  <c r="AC442" i="2"/>
  <c r="P442" i="2"/>
  <c r="Q461" i="2"/>
  <c r="AC461" i="2"/>
  <c r="P461" i="2"/>
  <c r="AC493" i="2"/>
  <c r="Q493" i="2"/>
  <c r="P493" i="2"/>
  <c r="F11" i="3"/>
  <c r="I11" i="3"/>
  <c r="H11" i="3"/>
  <c r="G11" i="3"/>
  <c r="E11" i="3"/>
  <c r="C39" i="4"/>
  <c r="C8" i="4"/>
  <c r="C7" i="4"/>
  <c r="D3" i="3"/>
  <c r="AC25" i="2"/>
  <c r="AC33" i="2"/>
  <c r="AC35" i="2"/>
  <c r="Q73" i="2"/>
  <c r="P73" i="2"/>
  <c r="Q103" i="2"/>
  <c r="AC103" i="2"/>
  <c r="AC125" i="2"/>
  <c r="AC147" i="2"/>
  <c r="AC151" i="2"/>
  <c r="Q172" i="2"/>
  <c r="P172" i="2"/>
  <c r="Q242" i="2"/>
  <c r="AC242" i="2"/>
  <c r="AC259" i="2"/>
  <c r="P259" i="2"/>
  <c r="AC266" i="2"/>
  <c r="Q266" i="2"/>
  <c r="P294" i="2"/>
  <c r="Q294" i="2"/>
  <c r="P343" i="2"/>
  <c r="AC343" i="2"/>
  <c r="Q343" i="2"/>
  <c r="AC362" i="2"/>
  <c r="Q364" i="2"/>
  <c r="AC380" i="2"/>
  <c r="AC382" i="2"/>
  <c r="Q389" i="2"/>
  <c r="P389" i="2"/>
  <c r="AC389" i="2"/>
  <c r="Q440" i="2"/>
  <c r="AC440" i="2"/>
  <c r="P440" i="2"/>
  <c r="AC498" i="2"/>
  <c r="Q498" i="2"/>
  <c r="P498" i="2"/>
  <c r="G3" i="3"/>
  <c r="AC134" i="2"/>
  <c r="Q134" i="2"/>
  <c r="P136" i="2"/>
  <c r="Q136" i="2"/>
  <c r="AC156" i="2"/>
  <c r="P156" i="2"/>
  <c r="Q160" i="2"/>
  <c r="AC160" i="2"/>
  <c r="P225" i="2"/>
  <c r="AC225" i="2"/>
  <c r="Q322" i="2"/>
  <c r="P322" i="2"/>
  <c r="P324" i="2"/>
  <c r="Q326" i="2"/>
  <c r="P328" i="2"/>
  <c r="AC335" i="2"/>
  <c r="Q335" i="2"/>
  <c r="Q350" i="2"/>
  <c r="P350" i="2"/>
  <c r="Q356" i="2"/>
  <c r="P386" i="2"/>
  <c r="Q18" i="2"/>
  <c r="AC18" i="2"/>
  <c r="Q148" i="2"/>
  <c r="P148" i="2"/>
  <c r="Q203" i="2"/>
  <c r="AC203" i="2"/>
  <c r="P205" i="2"/>
  <c r="AC205" i="2"/>
  <c r="Q217" i="2"/>
  <c r="P217" i="2"/>
  <c r="Q245" i="2"/>
  <c r="AC245" i="2"/>
  <c r="Q247" i="2"/>
  <c r="P247" i="2"/>
  <c r="Q262" i="2"/>
  <c r="AC262" i="2"/>
  <c r="Q402" i="2"/>
  <c r="AC402" i="2"/>
  <c r="AC404" i="2"/>
  <c r="Q404" i="2"/>
  <c r="P404" i="2"/>
  <c r="Q407" i="2"/>
  <c r="AC407" i="2"/>
  <c r="P407" i="2"/>
  <c r="AC435" i="2"/>
  <c r="Q435" i="2"/>
  <c r="P435" i="2"/>
  <c r="AC438" i="2"/>
  <c r="Q438" i="2"/>
  <c r="P438" i="2"/>
  <c r="Q455" i="2"/>
  <c r="P455" i="2"/>
  <c r="AC455" i="2"/>
  <c r="AC473" i="2"/>
  <c r="Q473" i="2"/>
  <c r="P475" i="2"/>
  <c r="AC475" i="2"/>
  <c r="Q475" i="2"/>
  <c r="P489" i="2"/>
  <c r="AC489" i="2"/>
  <c r="P494" i="2"/>
  <c r="AC494" i="2"/>
  <c r="Q494" i="2"/>
  <c r="F8" i="3"/>
  <c r="E8" i="3"/>
  <c r="I8" i="3"/>
  <c r="H8" i="3"/>
  <c r="G8" i="3"/>
  <c r="F19" i="3"/>
  <c r="H19" i="3"/>
  <c r="AC136" i="2"/>
  <c r="Q156" i="2"/>
  <c r="P320" i="2"/>
  <c r="Q320" i="2"/>
  <c r="Q370" i="2"/>
  <c r="P370" i="2"/>
  <c r="Q418" i="2"/>
  <c r="AC418" i="2"/>
  <c r="F28" i="3"/>
  <c r="E28" i="3"/>
  <c r="G28" i="3"/>
  <c r="AC185" i="2"/>
  <c r="P185" i="2"/>
  <c r="AC96" i="2"/>
  <c r="P96" i="2"/>
  <c r="Q132" i="2"/>
  <c r="P402" i="2"/>
  <c r="AC44" i="2"/>
  <c r="P94" i="2"/>
  <c r="G19" i="3"/>
  <c r="Q28" i="2"/>
  <c r="AC28" i="2"/>
  <c r="P154" i="2"/>
  <c r="P160" i="2"/>
  <c r="P18" i="2"/>
  <c r="Q24" i="2"/>
  <c r="P54" i="2"/>
  <c r="P187" i="2"/>
  <c r="AC193" i="2"/>
  <c r="P203" i="2"/>
  <c r="AC247" i="2"/>
  <c r="P314" i="2"/>
  <c r="AC314" i="2"/>
  <c r="Q314" i="2"/>
  <c r="AC331" i="2"/>
  <c r="AC451" i="2"/>
  <c r="Q451" i="2"/>
  <c r="P473" i="2"/>
  <c r="Q489" i="2"/>
  <c r="Q26" i="2"/>
  <c r="Q36" i="2"/>
  <c r="Q42" i="2"/>
  <c r="P48" i="2"/>
  <c r="P56" i="2"/>
  <c r="P64" i="2"/>
  <c r="AC84" i="2"/>
  <c r="Q84" i="2"/>
  <c r="P92" i="2"/>
  <c r="AC116" i="2"/>
  <c r="P116" i="2"/>
  <c r="AC150" i="2"/>
  <c r="AC152" i="2"/>
  <c r="P175" i="2"/>
  <c r="P181" i="2"/>
  <c r="Q185" i="2"/>
  <c r="AC187" i="2"/>
  <c r="P209" i="2"/>
  <c r="P215" i="2"/>
  <c r="AC226" i="2"/>
  <c r="Q226" i="2"/>
  <c r="AC309" i="2"/>
  <c r="AC320" i="2"/>
  <c r="AC323" i="2"/>
  <c r="P323" i="2"/>
  <c r="Q368" i="2"/>
  <c r="AC368" i="2"/>
  <c r="AC370" i="2"/>
  <c r="AC373" i="2"/>
  <c r="P373" i="2"/>
  <c r="Q373" i="2"/>
  <c r="Q390" i="2"/>
  <c r="P418" i="2"/>
  <c r="P447" i="2"/>
  <c r="P449" i="2"/>
  <c r="P471" i="2"/>
  <c r="AC476" i="2"/>
  <c r="Q476" i="2"/>
  <c r="P476" i="2"/>
  <c r="AC26" i="2"/>
  <c r="AC36" i="2"/>
  <c r="AC38" i="2"/>
  <c r="AC46" i="2"/>
  <c r="AC48" i="2"/>
  <c r="AC56" i="2"/>
  <c r="Q64" i="2"/>
  <c r="P66" i="2"/>
  <c r="P74" i="2"/>
  <c r="Q78" i="2"/>
  <c r="AC78" i="2"/>
  <c r="AC80" i="2"/>
  <c r="P80" i="2"/>
  <c r="Q92" i="2"/>
  <c r="Q94" i="2"/>
  <c r="Q96" i="2"/>
  <c r="P100" i="2"/>
  <c r="P104" i="2"/>
  <c r="P112" i="2"/>
  <c r="Q143" i="2"/>
  <c r="AC143" i="2"/>
  <c r="Q163" i="2"/>
  <c r="P163" i="2"/>
  <c r="AC165" i="2"/>
  <c r="Q165" i="2"/>
  <c r="P173" i="2"/>
  <c r="Q175" i="2"/>
  <c r="P179" i="2"/>
  <c r="Q181" i="2"/>
  <c r="AC194" i="2"/>
  <c r="P194" i="2"/>
  <c r="Q198" i="2"/>
  <c r="P198" i="2"/>
  <c r="AC209" i="2"/>
  <c r="Q215" i="2"/>
  <c r="AC239" i="2"/>
  <c r="P239" i="2"/>
  <c r="AC241" i="2"/>
  <c r="P241" i="2"/>
  <c r="Q252" i="2"/>
  <c r="AC252" i="2"/>
  <c r="P252" i="2"/>
  <c r="P260" i="2"/>
  <c r="P271" i="2"/>
  <c r="Q280" i="2"/>
  <c r="AC280" i="2"/>
  <c r="P293" i="2"/>
  <c r="P295" i="2"/>
  <c r="Q297" i="2"/>
  <c r="AC297" i="2"/>
  <c r="Q299" i="2"/>
  <c r="AC299" i="2"/>
  <c r="P299" i="2"/>
  <c r="Q332" i="2"/>
  <c r="P332" i="2"/>
  <c r="Q342" i="2"/>
  <c r="AC342" i="2"/>
  <c r="AC388" i="2"/>
  <c r="Q388" i="2"/>
  <c r="AC390" i="2"/>
  <c r="AC416" i="2"/>
  <c r="Q416" i="2"/>
  <c r="AC447" i="2"/>
  <c r="AC449" i="2"/>
  <c r="P451" i="2"/>
  <c r="Q471" i="2"/>
  <c r="Q487" i="2"/>
  <c r="P487" i="2"/>
  <c r="AC487" i="2"/>
  <c r="P24" i="2"/>
  <c r="P77" i="2"/>
  <c r="P150" i="2"/>
  <c r="P52" i="2"/>
  <c r="Q58" i="2"/>
  <c r="AC58" i="2"/>
  <c r="AC148" i="2"/>
  <c r="AC154" i="2"/>
  <c r="AC201" i="2"/>
  <c r="Q205" i="2"/>
  <c r="Q228" i="2"/>
  <c r="AC228" i="2"/>
  <c r="AC238" i="2"/>
  <c r="AC275" i="2"/>
  <c r="Q301" i="2"/>
  <c r="P301" i="2"/>
  <c r="P375" i="2"/>
  <c r="AC375" i="2"/>
  <c r="Q375" i="2"/>
  <c r="P425" i="2"/>
  <c r="AC425" i="2"/>
  <c r="Q30" i="2"/>
  <c r="Q40" i="2"/>
  <c r="AC54" i="2"/>
  <c r="Q23" i="2"/>
  <c r="P23" i="2"/>
  <c r="Q74" i="2"/>
  <c r="P76" i="2"/>
  <c r="P84" i="2"/>
  <c r="P102" i="2"/>
  <c r="P110" i="2"/>
  <c r="Q129" i="2"/>
  <c r="AC129" i="2"/>
  <c r="P137" i="2"/>
  <c r="P161" i="2"/>
  <c r="AC173" i="2"/>
  <c r="AC179" i="2"/>
  <c r="P226" i="2"/>
  <c r="P250" i="2"/>
  <c r="Q274" i="2"/>
  <c r="P274" i="2"/>
  <c r="Q293" i="2"/>
  <c r="Q310" i="2"/>
  <c r="P310" i="2"/>
  <c r="Q323" i="2"/>
  <c r="Q463" i="2"/>
  <c r="I10" i="3"/>
  <c r="F10" i="3"/>
  <c r="G10" i="3"/>
  <c r="E10" i="3"/>
  <c r="H10" i="3"/>
  <c r="P16" i="2"/>
  <c r="P132" i="2"/>
  <c r="P142" i="2"/>
  <c r="AC16" i="2"/>
  <c r="P34" i="2"/>
  <c r="P40" i="2"/>
  <c r="P44" i="2"/>
  <c r="AC77" i="2"/>
  <c r="Q98" i="2"/>
  <c r="P98" i="2"/>
  <c r="Q118" i="2"/>
  <c r="AC118" i="2"/>
  <c r="AC142" i="2"/>
  <c r="P152" i="2"/>
  <c r="Q183" i="2"/>
  <c r="P183" i="2"/>
  <c r="AC217" i="2"/>
  <c r="AC243" i="2"/>
  <c r="Q243" i="2"/>
  <c r="P245" i="2"/>
  <c r="P262" i="2"/>
  <c r="AC311" i="2"/>
  <c r="AC348" i="2"/>
  <c r="Q348" i="2"/>
  <c r="Q357" i="2"/>
  <c r="AC357" i="2"/>
  <c r="P357" i="2"/>
  <c r="P28" i="2"/>
  <c r="AC34" i="2"/>
  <c r="P38" i="2"/>
  <c r="P46" i="2"/>
  <c r="Q52" i="2"/>
  <c r="Q68" i="2"/>
  <c r="AC68" i="2"/>
  <c r="AC66" i="2"/>
  <c r="AC100" i="2"/>
  <c r="AC104" i="2"/>
  <c r="Q112" i="2"/>
  <c r="Q116" i="2"/>
  <c r="Q153" i="2"/>
  <c r="AC153" i="2"/>
  <c r="P159" i="2"/>
  <c r="P177" i="2"/>
  <c r="Q237" i="2"/>
  <c r="P237" i="2"/>
  <c r="Q260" i="2"/>
  <c r="AC271" i="2"/>
  <c r="Q295" i="2"/>
  <c r="AC308" i="2"/>
  <c r="P308" i="2"/>
  <c r="Q321" i="2"/>
  <c r="P321" i="2"/>
  <c r="P368" i="2"/>
  <c r="Q371" i="2"/>
  <c r="AC371" i="2"/>
  <c r="P371" i="2"/>
  <c r="Q419" i="2"/>
  <c r="P419" i="2"/>
  <c r="AC419" i="2"/>
  <c r="P15" i="2"/>
  <c r="P21" i="2"/>
  <c r="AC49" i="2"/>
  <c r="P49" i="2"/>
  <c r="P78" i="2"/>
  <c r="Q80" i="2"/>
  <c r="AC102" i="2"/>
  <c r="AC110" i="2"/>
  <c r="Q123" i="2"/>
  <c r="AC123" i="2"/>
  <c r="AC127" i="2"/>
  <c r="Q127" i="2"/>
  <c r="P141" i="2"/>
  <c r="P143" i="2"/>
  <c r="P149" i="2"/>
  <c r="Q155" i="2"/>
  <c r="Q161" i="2"/>
  <c r="AC163" i="2"/>
  <c r="P165" i="2"/>
  <c r="Q177" i="2"/>
  <c r="P190" i="2"/>
  <c r="P192" i="2"/>
  <c r="Q194" i="2"/>
  <c r="AC198" i="2"/>
  <c r="P200" i="2"/>
  <c r="Q210" i="2"/>
  <c r="AC210" i="2"/>
  <c r="AC212" i="2"/>
  <c r="P212" i="2"/>
  <c r="Q239" i="2"/>
  <c r="Q241" i="2"/>
  <c r="P244" i="2"/>
  <c r="AC244" i="2"/>
  <c r="AC250" i="2"/>
  <c r="P280" i="2"/>
  <c r="Q283" i="2"/>
  <c r="P283" i="2"/>
  <c r="P297" i="2"/>
  <c r="Q302" i="2"/>
  <c r="AC302" i="2"/>
  <c r="AC332" i="2"/>
  <c r="P342" i="2"/>
  <c r="Q349" i="2"/>
  <c r="AC349" i="2"/>
  <c r="P349" i="2"/>
  <c r="AC366" i="2"/>
  <c r="Q366" i="2"/>
  <c r="P366" i="2"/>
  <c r="P388" i="2"/>
  <c r="P416" i="2"/>
  <c r="Q457" i="2"/>
  <c r="P457" i="2"/>
  <c r="AC463" i="2"/>
  <c r="Q483" i="2"/>
  <c r="AC483" i="2"/>
  <c r="AC485" i="2"/>
  <c r="Q485" i="2"/>
  <c r="P485" i="2"/>
  <c r="Q347" i="2"/>
  <c r="AC347" i="2"/>
  <c r="P395" i="2"/>
  <c r="AC424" i="2"/>
  <c r="P424" i="2"/>
  <c r="P452" i="2"/>
  <c r="Q456" i="2"/>
  <c r="P480" i="2"/>
  <c r="Q488" i="2"/>
  <c r="Q495" i="2"/>
  <c r="P495" i="2"/>
  <c r="C11" i="4"/>
  <c r="AC20" i="2"/>
  <c r="AC32" i="2"/>
  <c r="AC39" i="2"/>
  <c r="AC51" i="2"/>
  <c r="AC70" i="2"/>
  <c r="AC82" i="2"/>
  <c r="AC111" i="2"/>
  <c r="AC120" i="2"/>
  <c r="AC131" i="2"/>
  <c r="AC140" i="2"/>
  <c r="AC169" i="2"/>
  <c r="AC180" i="2"/>
  <c r="AC189" i="2"/>
  <c r="AC216" i="2"/>
  <c r="AC248" i="2"/>
  <c r="AC286" i="2"/>
  <c r="AC288" i="2"/>
  <c r="AC329" i="2"/>
  <c r="AC351" i="2"/>
  <c r="Q395" i="2"/>
  <c r="AC405" i="2"/>
  <c r="Q408" i="2"/>
  <c r="P408" i="2"/>
  <c r="Q422" i="2"/>
  <c r="P422" i="2"/>
  <c r="AC452" i="2"/>
  <c r="AC456" i="2"/>
  <c r="AC480" i="2"/>
  <c r="AC488" i="2"/>
  <c r="E27" i="3"/>
  <c r="G27" i="3"/>
  <c r="F27" i="3"/>
  <c r="F24" i="3"/>
  <c r="E24" i="3"/>
  <c r="G24" i="3"/>
  <c r="P444" i="2"/>
  <c r="AC444" i="2"/>
  <c r="AC235" i="2"/>
  <c r="Q235" i="2"/>
  <c r="Q312" i="2"/>
  <c r="P312" i="2"/>
  <c r="AC312" i="2"/>
  <c r="Q428" i="2"/>
  <c r="P428" i="2"/>
  <c r="AC464" i="2"/>
  <c r="Q464" i="2"/>
  <c r="AC466" i="2"/>
  <c r="P466" i="2"/>
  <c r="H9" i="3"/>
  <c r="G9" i="3"/>
  <c r="F13" i="3"/>
  <c r="E13" i="3"/>
  <c r="H13" i="3"/>
  <c r="I13" i="3"/>
  <c r="G13" i="3"/>
  <c r="E25" i="3"/>
  <c r="F25" i="3"/>
  <c r="G25" i="3"/>
  <c r="Q359" i="2"/>
  <c r="P359" i="2"/>
  <c r="Q379" i="2"/>
  <c r="P379" i="2"/>
  <c r="Q387" i="2"/>
  <c r="P387" i="2"/>
  <c r="Q399" i="2"/>
  <c r="P399" i="2"/>
  <c r="Q444" i="2"/>
  <c r="Q462" i="2"/>
  <c r="AC462" i="2"/>
  <c r="Q492" i="2"/>
  <c r="AC492" i="2"/>
  <c r="P500" i="2"/>
  <c r="P63" i="2"/>
  <c r="P91" i="2"/>
  <c r="P158" i="2"/>
  <c r="Q167" i="2"/>
  <c r="P178" i="2"/>
  <c r="P196" i="2"/>
  <c r="P218" i="2"/>
  <c r="Q220" i="2"/>
  <c r="P235" i="2"/>
  <c r="AC254" i="2"/>
  <c r="P254" i="2"/>
  <c r="Q276" i="2"/>
  <c r="P282" i="2"/>
  <c r="AC290" i="2"/>
  <c r="Q290" i="2"/>
  <c r="Q292" i="2"/>
  <c r="AC292" i="2"/>
  <c r="P292" i="2"/>
  <c r="AC304" i="2"/>
  <c r="Q304" i="2"/>
  <c r="P306" i="2"/>
  <c r="Q306" i="2"/>
  <c r="Q337" i="2"/>
  <c r="P337" i="2"/>
  <c r="AC339" i="2"/>
  <c r="Q339" i="2"/>
  <c r="AC355" i="2"/>
  <c r="Q355" i="2"/>
  <c r="Q367" i="2"/>
  <c r="P367" i="2"/>
  <c r="P369" i="2"/>
  <c r="Q397" i="2"/>
  <c r="AC397" i="2"/>
  <c r="P397" i="2"/>
  <c r="P411" i="2"/>
  <c r="Q413" i="2"/>
  <c r="Q417" i="2"/>
  <c r="AC417" i="2"/>
  <c r="P417" i="2"/>
  <c r="AC426" i="2"/>
  <c r="Q426" i="2"/>
  <c r="P426" i="2"/>
  <c r="AC428" i="2"/>
  <c r="P436" i="2"/>
  <c r="P464" i="2"/>
  <c r="Q466" i="2"/>
  <c r="P472" i="2"/>
  <c r="Q482" i="2"/>
  <c r="AC482" i="2"/>
  <c r="Q500" i="2"/>
  <c r="E9" i="3"/>
  <c r="E40" i="3"/>
  <c r="H40" i="3"/>
  <c r="G40" i="3"/>
  <c r="F40" i="3"/>
  <c r="P263" i="2"/>
  <c r="AC263" i="2"/>
  <c r="Q263" i="2"/>
  <c r="AC281" i="2"/>
  <c r="Q281" i="2"/>
  <c r="Q330" i="2"/>
  <c r="AC330" i="2"/>
  <c r="P330" i="2"/>
  <c r="Q468" i="2"/>
  <c r="P468" i="2"/>
  <c r="AC491" i="2"/>
  <c r="Q491" i="2"/>
  <c r="G74" i="3"/>
  <c r="F74" i="3"/>
  <c r="E74" i="3"/>
  <c r="D74" i="3"/>
  <c r="G54" i="3"/>
  <c r="F54" i="3"/>
  <c r="E54" i="3"/>
  <c r="G75" i="3"/>
  <c r="F75" i="3"/>
  <c r="E75" i="3"/>
  <c r="D75" i="3"/>
  <c r="G50" i="3"/>
  <c r="F50" i="3"/>
  <c r="E50" i="3"/>
  <c r="G70" i="3"/>
  <c r="F70" i="3"/>
  <c r="E70" i="3"/>
  <c r="D70" i="3"/>
  <c r="E29" i="3"/>
  <c r="F29" i="3"/>
  <c r="E19" i="4"/>
  <c r="D19" i="4"/>
  <c r="F26" i="3"/>
  <c r="E26" i="3"/>
  <c r="G26" i="3"/>
  <c r="G72" i="3"/>
  <c r="F72" i="3"/>
  <c r="E72" i="3"/>
  <c r="D72" i="3"/>
  <c r="G73" i="3"/>
  <c r="F73" i="3"/>
  <c r="E73" i="3"/>
  <c r="D73" i="3"/>
  <c r="G26" i="4"/>
  <c r="G66" i="3"/>
  <c r="F66" i="3"/>
  <c r="E66" i="3"/>
  <c r="D66" i="3"/>
  <c r="Q287" i="2"/>
  <c r="P287" i="2"/>
  <c r="Q392" i="2"/>
  <c r="AC392" i="2"/>
  <c r="H18" i="3"/>
  <c r="G18" i="3"/>
  <c r="G47" i="3"/>
  <c r="F47" i="3"/>
  <c r="E47" i="3"/>
  <c r="G51" i="3"/>
  <c r="F51" i="3"/>
  <c r="E51" i="3"/>
  <c r="G58" i="3"/>
  <c r="F58" i="3"/>
  <c r="E58" i="3"/>
  <c r="H58" i="3"/>
  <c r="G67" i="3"/>
  <c r="F67" i="3"/>
  <c r="E67" i="3"/>
  <c r="D67" i="3"/>
  <c r="F34" i="3"/>
  <c r="E34" i="3"/>
  <c r="F36" i="3"/>
  <c r="E36" i="3"/>
  <c r="G49" i="3"/>
  <c r="F49" i="3"/>
  <c r="E49" i="3"/>
  <c r="G53" i="3"/>
  <c r="F53" i="3"/>
  <c r="E53" i="3"/>
  <c r="G71" i="3"/>
  <c r="F71" i="3"/>
  <c r="E71" i="3"/>
  <c r="D71" i="3"/>
  <c r="G48" i="3"/>
  <c r="F48" i="3"/>
  <c r="G52" i="3"/>
  <c r="F52" i="3"/>
  <c r="G68" i="3"/>
  <c r="F68" i="3"/>
  <c r="E68" i="3"/>
  <c r="D68" i="3"/>
  <c r="G69" i="3"/>
  <c r="F69" i="3"/>
  <c r="E69" i="3"/>
  <c r="D69" i="3"/>
  <c r="F61" i="3"/>
  <c r="G4" i="5"/>
  <c r="G61" i="3"/>
  <c r="D21" i="4"/>
  <c r="G3" i="5"/>
  <c r="E62" i="3"/>
  <c r="E26" i="4"/>
  <c r="E28" i="4"/>
  <c r="E30" i="4"/>
  <c r="E32" i="4"/>
  <c r="E34" i="4"/>
  <c r="G62" i="3"/>
  <c r="C80" i="3" l="1"/>
  <c r="C6" i="4"/>
  <c r="J3" i="3"/>
  <c r="C43" i="4"/>
  <c r="C40" i="4"/>
  <c r="C5" i="4"/>
  <c r="D80" i="3"/>
  <c r="C44" i="4"/>
  <c r="C9" i="4"/>
  <c r="C81" i="3"/>
  <c r="C41" i="4"/>
  <c r="C82" i="3"/>
  <c r="F3" i="3"/>
  <c r="C42" i="4"/>
  <c r="B3" i="3"/>
  <c r="H3" i="3"/>
  <c r="D81" i="3"/>
  <c r="C4" i="4"/>
  <c r="E3" i="3"/>
  <c r="I35" i="3" l="1"/>
  <c r="J10" i="3"/>
  <c r="J13" i="3"/>
  <c r="I34" i="3"/>
  <c r="J8" i="3"/>
  <c r="C3" i="3"/>
  <c r="J11" i="3"/>
  <c r="J9" i="3"/>
  <c r="J12" i="3"/>
  <c r="I36" i="3"/>
  <c r="J7" i="3"/>
  <c r="I3" i="3"/>
</calcChain>
</file>

<file path=xl/sharedStrings.xml><?xml version="1.0" encoding="utf-8"?>
<sst xmlns="http://schemas.openxmlformats.org/spreadsheetml/2006/main" count="267" uniqueCount="184">
  <si>
    <t>How to Use This Trade Journal</t>
  </si>
  <si>
    <t>TRADE LOG TAB</t>
  </si>
  <si>
    <t>Enter each trade in a new row. Fill in columns B through M (Date, Time, Symbol, Direction, Setup, Entry, Stop, Target, Shares, Exit Price, Exit Time, Exit Reason). Columns N through Q auto-calculate P&amp;L, R-Multiple, and Win/Loss.</t>
  </si>
  <si>
    <t>Direction: Choose LONG or SHORT from the dropdown.</t>
  </si>
  <si>
    <t>Setup: Choose from your 7 alert types (BOX_REV, MANIP, VWAP_SEP, EMA9_SEP, VWAP_KISS, EMA_PULL, EMA_RETEST).</t>
  </si>
  <si>
    <t>Exit Reason: Target Hit, Stop Hit, Trailing Stop, Time Exit, Manual, or Partial.</t>
  </si>
  <si>
    <t>Notes: Write anything useful — what you saw, why you entered, what you learned.</t>
  </si>
  <si>
    <t>DASHBOARD TAB</t>
  </si>
  <si>
    <t>All metrics update automatically as you add trades. Win rate, profit factor, expectancy, setup performance, direction breakdown, and time-of-day analysis are all formula-driven.</t>
  </si>
  <si>
    <t>BEHAVIORAL TAB</t>
  </si>
  <si>
    <t>Tracks streaks, largest winners/losers, exit reason effectiveness, and per-symbol performance. Use this to spot patterns like: Are you better at longs? Do you overtrade after lunch? Are stop-hit exits your biggest losses?</t>
  </si>
  <si>
    <t>DAILY P&amp;L TAB</t>
  </si>
  <si>
    <t>Enter the date in column A for each trading day. All other columns auto-calculate from the Trade Log. Cumulative P&amp;L builds automatically.</t>
  </si>
  <si>
    <t>TIPS</t>
  </si>
  <si>
    <t>1. Be consistent — log EVERY trade, even the bad ones. Especially the bad ones.</t>
  </si>
  <si>
    <t>2. Fill in the Hold Time (minutes) to track if you're cutting winners short or holding losers too long.</t>
  </si>
  <si>
    <t>3. Use Notes for context you'll forget later: market conditions, news, your emotional state.</t>
  </si>
  <si>
    <t>4. Review weekly: which setups are working? Which time blocks? Which symbols?</t>
  </si>
  <si>
    <t>5. The R-Multiple column tells you how many units of risk you gained or lost. Anything above 1.0R is a winner that met your target.</t>
  </si>
  <si>
    <t>NEW COLUMNS (added)</t>
  </si>
  <si>
    <t>Grade (A/B/C): Rate the quality of the setup before or after the trade. A = perfect alignment, B = acceptable, C = marginal/forced. The Dashboard shows P&amp;L by grade.</t>
  </si>
  <si>
    <t>Rules? (Y/N): Did you follow your trading plan? Entry, stop, target, size all as planned? The Dashboard compares rule-following vs. rule-breaking P&amp;L.</t>
  </si>
  <si>
    <t>Emotion: Your state when you took the trade. Calm, Focused, Hesitant, Frustrated, FOMO, Revenge, Tired, Distracted. Correlations with P&amp;L are often stark.</t>
  </si>
  <si>
    <t>Mistake: If something went wrong, tag it. None, Chased Entry, Early Exit, Late Exit, No Stop, Moved Stop, Oversized, Forced Trade, etc. The Dashboard shows total cost of each mistake type.</t>
  </si>
  <si>
    <t>Regime: Market day type. Trend, Rotation, Choppy, High Vol, Low Vol. Your engine already classifies this. Shows which setups work in which conditions.</t>
  </si>
  <si>
    <t>Fees: Total commissions + fees for the trade. Net P&amp;L auto-calculates as Gross P&amp;L minus Fees.</t>
  </si>
  <si>
    <t>MAE: Maximum Adverse Excursion. How far did the trade go against you (in dollars per share) before the outcome? Helps answer: are my stops too tight?</t>
  </si>
  <si>
    <t>MFE: Maximum Favorable Excursion. How far did the trade go in your favor (in dollars per share) before you exited? Helps answer: am I leaving money on the table?</t>
  </si>
  <si>
    <t>Trade #</t>
  </si>
  <si>
    <t>Date</t>
  </si>
  <si>
    <t>Time</t>
  </si>
  <si>
    <t>Symbol</t>
  </si>
  <si>
    <t>Direction</t>
  </si>
  <si>
    <t>Setup</t>
  </si>
  <si>
    <t>Entry Price</t>
  </si>
  <si>
    <t>Stop Price</t>
  </si>
  <si>
    <t>Target Price</t>
  </si>
  <si>
    <t>Shares</t>
  </si>
  <si>
    <t>Exit Price</t>
  </si>
  <si>
    <t>Exit Time</t>
  </si>
  <si>
    <t>Exit Reason</t>
  </si>
  <si>
    <t>P&amp;L ($)</t>
  </si>
  <si>
    <t>P&amp;L (%)</t>
  </si>
  <si>
    <t>R-Multiple</t>
  </si>
  <si>
    <t>Win/Loss</t>
  </si>
  <si>
    <t>Held (min)</t>
  </si>
  <si>
    <t>Notes</t>
  </si>
  <si>
    <t>Screenshot Link</t>
  </si>
  <si>
    <t>Grade</t>
  </si>
  <si>
    <t>Rules?</t>
  </si>
  <si>
    <t>Emotion</t>
  </si>
  <si>
    <t>Mistake</t>
  </si>
  <si>
    <t>Regime</t>
  </si>
  <si>
    <t>Fees</t>
  </si>
  <si>
    <t>MAE</t>
  </si>
  <si>
    <t>MFE</t>
  </si>
  <si>
    <t>Net P&amp;L</t>
  </si>
  <si>
    <t>2026-03-06</t>
  </si>
  <si>
    <t>TSLA</t>
  </si>
  <si>
    <t>LONG</t>
  </si>
  <si>
    <t>WIN</t>
  </si>
  <si>
    <t>SOXL</t>
  </si>
  <si>
    <t>LOSS</t>
  </si>
  <si>
    <t>Trading Performance Dashboard</t>
  </si>
  <si>
    <t>Total Trades</t>
  </si>
  <si>
    <t>Win Rate</t>
  </si>
  <si>
    <t>Total P&amp;L</t>
  </si>
  <si>
    <t>Avg Winner ($)</t>
  </si>
  <si>
    <t>Avg Loser ($)</t>
  </si>
  <si>
    <t>Profit Factor</t>
  </si>
  <si>
    <t>Avg R-Multiple</t>
  </si>
  <si>
    <t>Expectancy/Trade</t>
  </si>
  <si>
    <t>Total Fees</t>
  </si>
  <si>
    <t>Performance by Setup</t>
  </si>
  <si>
    <t>Trades</t>
  </si>
  <si>
    <t>Wins</t>
  </si>
  <si>
    <t>Avg P&amp;L</t>
  </si>
  <si>
    <t>Avg R</t>
  </si>
  <si>
    <t>Losses</t>
  </si>
  <si>
    <t>% of Trades</t>
  </si>
  <si>
    <t>BOX_REV</t>
  </si>
  <si>
    <t>MANIP</t>
  </si>
  <si>
    <t>VWAP_SEP</t>
  </si>
  <si>
    <t>EMA9_SEP</t>
  </si>
  <si>
    <t>VWAP_KISS</t>
  </si>
  <si>
    <t>EMA_PULL</t>
  </si>
  <si>
    <t>EMA_RETEST</t>
  </si>
  <si>
    <t>Performance by Direction</t>
  </si>
  <si>
    <t>SHORT</t>
  </si>
  <si>
    <t>Performance by Time of Day</t>
  </si>
  <si>
    <t>Time Block</t>
  </si>
  <si>
    <t>9:30-10:00 (Open)</t>
  </si>
  <si>
    <t>10:00-10:45 (Morning)</t>
  </si>
  <si>
    <t>10:45-12:00 (Mid-AM)</t>
  </si>
  <si>
    <t>12:00-1:30 (Lunch)</t>
  </si>
  <si>
    <t>1:30-3:00 (Afternoon)</t>
  </si>
  <si>
    <t>3:00-4:00 (Close)</t>
  </si>
  <si>
    <t>Performance by Setup Grade</t>
  </si>
  <si>
    <t>A</t>
  </si>
  <si>
    <t>B</t>
  </si>
  <si>
    <t>C</t>
  </si>
  <si>
    <t>Rule Adherence Impact</t>
  </si>
  <si>
    <t>Rules Followed?</t>
  </si>
  <si>
    <t>Yes (followed plan)</t>
  </si>
  <si>
    <t>No (broke rules)</t>
  </si>
  <si>
    <t>Behavioral Drag (cost of breaking rules):</t>
  </si>
  <si>
    <t>Performance by Emotional State</t>
  </si>
  <si>
    <t>State</t>
  </si>
  <si>
    <t>Calm</t>
  </si>
  <si>
    <t>Focused</t>
  </si>
  <si>
    <t>Hesitant</t>
  </si>
  <si>
    <t>Frustrated</t>
  </si>
  <si>
    <t>FOMO</t>
  </si>
  <si>
    <t>Revenge</t>
  </si>
  <si>
    <t>Tired</t>
  </si>
  <si>
    <t>Distracted</t>
  </si>
  <si>
    <t>Performance by Market Regime</t>
  </si>
  <si>
    <t>Trend</t>
  </si>
  <si>
    <t>Rotation</t>
  </si>
  <si>
    <t>Choppy</t>
  </si>
  <si>
    <t>High Vol</t>
  </si>
  <si>
    <t>Low Vol</t>
  </si>
  <si>
    <t>Mistake Cost Analysis</t>
  </si>
  <si>
    <t>Count</t>
  </si>
  <si>
    <t>% of All Losses</t>
  </si>
  <si>
    <t>None</t>
  </si>
  <si>
    <t>Chased Entry</t>
  </si>
  <si>
    <t>Early Exit</t>
  </si>
  <si>
    <t>Late Exit</t>
  </si>
  <si>
    <t>No Stop</t>
  </si>
  <si>
    <t>Moved Stop</t>
  </si>
  <si>
    <t>Oversized</t>
  </si>
  <si>
    <t>Forced Trade</t>
  </si>
  <si>
    <t>FOMO Entry</t>
  </si>
  <si>
    <t>Revenge Trade</t>
  </si>
  <si>
    <t>P&amp;L if all mistake trades excluded:</t>
  </si>
  <si>
    <t>MAE / MFE Analysis</t>
  </si>
  <si>
    <t>Metric</t>
  </si>
  <si>
    <t>Winners</t>
  </si>
  <si>
    <t>Losers</t>
  </si>
  <si>
    <t>All Trades</t>
  </si>
  <si>
    <t>Avg MAE (adverse)</t>
  </si>
  <si>
    <t>Avg MFE (favorable)</t>
  </si>
  <si>
    <t>Avg MFE Captured (%)</t>
  </si>
  <si>
    <t>"-"</t>
  </si>
  <si>
    <t>MAE tells you if stops are too tight (high MAE on winners = good, stop survived noise).</t>
  </si>
  <si>
    <t>MFE tells you if you're leaving money on the table (high MFE on losers = gave back open profit).</t>
  </si>
  <si>
    <t>Behavioral Analysis</t>
  </si>
  <si>
    <t>Streaks &amp; Risk Metrics</t>
  </si>
  <si>
    <t>Current Streak</t>
  </si>
  <si>
    <t>Max Win Streak</t>
  </si>
  <si>
    <t>Max Loss Streak</t>
  </si>
  <si>
    <t>Largest Winner ($)</t>
  </si>
  <si>
    <t>Largest Loser ($)</t>
  </si>
  <si>
    <t>Win/Loss Ratio (size)</t>
  </si>
  <si>
    <t>Avg Hold Time (min)</t>
  </si>
  <si>
    <t>Trades per Day (avg)</t>
  </si>
  <si>
    <t>Exit Reason Breakdown</t>
  </si>
  <si>
    <t>Target Hit</t>
  </si>
  <si>
    <t>Stop Hit</t>
  </si>
  <si>
    <t>Trailing Stop</t>
  </si>
  <si>
    <t>Time Exit</t>
  </si>
  <si>
    <t>Manual</t>
  </si>
  <si>
    <t>Partial</t>
  </si>
  <si>
    <t>Top Symbols by Trade Count</t>
  </si>
  <si>
    <t>AAPL</t>
  </si>
  <si>
    <t>NVDA</t>
  </si>
  <si>
    <t>SPY</t>
  </si>
  <si>
    <t>QQQ</t>
  </si>
  <si>
    <t>TQQQ</t>
  </si>
  <si>
    <t>AMD</t>
  </si>
  <si>
    <t>NVDL</t>
  </si>
  <si>
    <t>SPXL</t>
  </si>
  <si>
    <t>META</t>
  </si>
  <si>
    <t>Key Risk Metrics</t>
  </si>
  <si>
    <t>Max Drawdown (approx)</t>
  </si>
  <si>
    <t>Trades &gt; 1R Loss</t>
  </si>
  <si>
    <t>Avg R on Losers</t>
  </si>
  <si>
    <t>Avg R on Winners</t>
  </si>
  <si>
    <t>Median Hold (winners)</t>
  </si>
  <si>
    <t>Median Hold (losers)</t>
  </si>
  <si>
    <t>Daily P&amp;L Tracker</t>
  </si>
  <si>
    <t>Gross P&amp;L</t>
  </si>
  <si>
    <t>Cumulative P&amp;L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</si>
</sst>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\$#,##0.00"/>
    <numFmt numFmtId="166" formatCode="0.0%"/>
    <numFmt numFmtId="167" formatCode="0&quot; min&quot;"/>
    <numFmt numFmtId="168" formatCode="hh:mm"/>
    <numFmt numFmtId="169" formatCode="0.0"/>
  </numFmts>
  <fonts count="19" x14ac:knownFonts="1">
    <font>
      <sz val="11"/>
      <color theme="1"/>
      <name val="Calibri"/>
      <family val="2"/>
      <charset val="1"/>
    </font>
    <font>
      <b/>
      <sz val="14"/>
      <color rgb="FF1B2A4A"/>
      <name val="Arial"/>
      <family val="2"/>
      <charset val="1"/>
    </font>
    <font>
      <b/>
      <sz val="11"/>
      <color rgb="FF1B2A4A"/>
      <name val="Arial"/>
      <family val="2"/>
      <charset val="1"/>
    </font>
    <font>
      <sz val="10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name val="Arial"/>
      <family val="2"/>
    </font>
    <font>
      <b/>
      <sz val="10"/>
      <color rgb="FF2E7D32"/>
      <name val="Arial"/>
      <family val="2"/>
    </font>
    <font>
      <b/>
      <sz val="10"/>
      <color rgb="FFC62828"/>
      <name val="Arial"/>
      <family val="2"/>
    </font>
    <font>
      <sz val="9"/>
      <color rgb="FF666666"/>
      <name val="Arial"/>
      <family val="2"/>
      <charset val="1"/>
    </font>
    <font>
      <b/>
      <sz val="18"/>
      <color rgb="FF2E5090"/>
      <name val="Arial"/>
      <family val="2"/>
      <charset val="1"/>
    </font>
    <font>
      <b/>
      <sz val="12"/>
      <color rgb="FF1B2A4A"/>
      <name val="Arial"/>
      <family val="2"/>
      <charset val="1"/>
    </font>
    <font>
      <b/>
      <sz val="10"/>
      <name val="Arial"/>
      <family val="2"/>
      <charset val="1"/>
    </font>
    <font>
      <b/>
      <sz val="11"/>
      <color rgb="FFC62828"/>
      <name val="Arial"/>
      <family val="2"/>
      <charset val="1"/>
    </font>
    <font>
      <b/>
      <sz val="14"/>
      <color rgb="FFC62828"/>
      <name val="Arial"/>
      <family val="2"/>
      <charset val="1"/>
    </font>
    <font>
      <sz val="10"/>
      <color rgb="FFC62828"/>
      <name val="Arial"/>
      <family val="2"/>
      <charset val="1"/>
    </font>
    <font>
      <b/>
      <sz val="11"/>
      <color rgb="FF2E7D32"/>
      <name val="Arial"/>
      <family val="2"/>
      <charset val="1"/>
    </font>
    <font>
      <b/>
      <sz val="14"/>
      <color rgb="FF2E7D32"/>
      <name val="Arial"/>
      <family val="2"/>
      <charset val="1"/>
    </font>
    <font>
      <i/>
      <sz val="9"/>
      <color rgb="FF666666"/>
      <name val="Arial"/>
      <family val="2"/>
      <charset val="1"/>
    </font>
    <font>
      <b/>
      <sz val="12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  <fill>
      <patternFill patternType="solid">
        <fgColor rgb="FFFFF8E1"/>
        <bgColor rgb="FFF5F5F5"/>
      </patternFill>
    </fill>
    <fill>
      <patternFill patternType="solid">
        <fgColor rgb="FFFFEBEE"/>
        <bgColor rgb="FFF5F5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21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168" fontId="3" fillId="0" borderId="1" xfId="0" applyNumberFormat="1" applyFont="1" applyBorder="1" applyAlignment="1">
      <alignment vertical="center"/>
    </xf>
    <xf numFmtId="165" fontId="3" fillId="0" borderId="1" xfId="0" applyNumberFormat="1" applyFont="1" applyBorder="1" applyAlignment="1">
      <alignment vertical="center"/>
    </xf>
    <xf numFmtId="166" fontId="3" fillId="0" borderId="1" xfId="0" applyNumberFormat="1" applyFont="1" applyBorder="1" applyAlignment="1">
      <alignment vertical="center"/>
    </xf>
    <xf numFmtId="2" fontId="3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0" fontId="10" fillId="0" borderId="0" xfId="0" applyFont="1"/>
    <xf numFmtId="0" fontId="4" fillId="0" borderId="1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66" fontId="0" fillId="3" borderId="1" xfId="0" applyNumberFormat="1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 vertical="center" wrapText="1"/>
    </xf>
    <xf numFmtId="2" fontId="0" fillId="3" borderId="1" xfId="0" applyNumberForma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6" fontId="0" fillId="0" borderId="1" xfId="0" applyNumberForma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66" fontId="0" fillId="4" borderId="1" xfId="0" applyNumberFormat="1" applyFill="1" applyBorder="1" applyAlignment="1">
      <alignment horizontal="center" vertical="center" wrapText="1"/>
    </xf>
    <xf numFmtId="165" fontId="0" fillId="4" borderId="1" xfId="0" applyNumberFormat="1" applyFill="1" applyBorder="1" applyAlignment="1">
      <alignment horizontal="center" vertical="center" wrapText="1"/>
    </xf>
    <xf numFmtId="2" fontId="0" fillId="4" borderId="1" xfId="0" applyNumberForma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166" fontId="0" fillId="5" borderId="1" xfId="0" applyNumberFormat="1" applyFill="1" applyBorder="1" applyAlignment="1">
      <alignment horizontal="center" vertical="center" wrapText="1"/>
    </xf>
    <xf numFmtId="165" fontId="0" fillId="5" borderId="1" xfId="0" applyNumberFormat="1" applyFill="1" applyBorder="1" applyAlignment="1">
      <alignment horizontal="center" vertical="center" wrapText="1"/>
    </xf>
    <xf numFmtId="2" fontId="0" fillId="5" borderId="1" xfId="0" applyNumberForma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166" fontId="0" fillId="6" borderId="1" xfId="0" applyNumberForma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 vertical="center" wrapText="1"/>
    </xf>
    <xf numFmtId="2" fontId="0" fillId="6" borderId="1" xfId="0" applyNumberFormat="1" applyFill="1" applyBorder="1" applyAlignment="1">
      <alignment horizontal="center" vertical="center" wrapText="1"/>
    </xf>
    <xf numFmtId="0" fontId="12" fillId="0" borderId="0" xfId="0" applyFont="1"/>
    <xf numFmtId="165" fontId="13" fillId="0" borderId="0" xfId="0" applyNumberFormat="1" applyFont="1"/>
    <xf numFmtId="165" fontId="14" fillId="0" borderId="1" xfId="0" applyNumberFormat="1" applyFont="1" applyBorder="1" applyAlignment="1">
      <alignment horizontal="center" vertical="center" wrapText="1"/>
    </xf>
    <xf numFmtId="0" fontId="15" fillId="0" borderId="0" xfId="0" applyFont="1"/>
    <xf numFmtId="165" fontId="16" fillId="0" borderId="0" xfId="0" applyNumberFormat="1" applyFont="1"/>
    <xf numFmtId="0" fontId="17" fillId="0" borderId="0" xfId="0" applyFont="1"/>
    <xf numFmtId="0" fontId="11" fillId="0" borderId="1" xfId="0" applyFont="1" applyBorder="1"/>
    <xf numFmtId="0" fontId="18" fillId="0" borderId="1" xfId="0" applyFont="1" applyBorder="1" applyAlignment="1">
      <alignment horizontal="center" vertical="center" wrapText="1"/>
    </xf>
    <xf numFmtId="165" fontId="18" fillId="0" borderId="1" xfId="0" applyNumberFormat="1" applyFont="1" applyBorder="1" applyAlignment="1">
      <alignment horizontal="center" vertical="center" wrapText="1"/>
    </xf>
    <xf numFmtId="169" fontId="18" fillId="0" borderId="1" xfId="0" applyNumberFormat="1" applyFont="1" applyBorder="1" applyAlignment="1">
      <alignment horizontal="center" vertical="center" wrapText="1"/>
    </xf>
    <xf numFmtId="2" fontId="18" fillId="0" borderId="1" xfId="0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</cellXfs>
  <cellStyles count="1">
    <cellStyle name="Normal" xfId="0" builtinId="0"/>
  </cellStyles>
  <dxfs count="15">
    <dxf>
      <font>
        <color rgb="FFC62828"/>
      </font>
      <fill>
        <patternFill>
          <bgColor rgb="FFFFEBEE"/>
        </patternFill>
      </fill>
    </dxf>
    <dxf>
      <font>
        <color rgb="FF2E7D32"/>
      </font>
      <fill>
        <patternFill>
          <bgColor rgb="FFE8F5E9"/>
        </patternFill>
      </fill>
    </dxf>
    <dxf>
      <font>
        <color rgb="FFC62828"/>
      </font>
    </dxf>
    <dxf>
      <font>
        <color rgb="FF2E7D32"/>
      </font>
    </dxf>
    <dxf>
      <fill>
        <patternFill>
          <bgColor rgb="FFFFEBEE"/>
        </patternFill>
      </fill>
    </dxf>
    <dxf>
      <fill>
        <patternFill>
          <bgColor rgb="FFE8F5E9"/>
        </patternFill>
      </fill>
    </dxf>
    <dxf>
      <fill>
        <patternFill>
          <bgColor rgb="FFFFF8E1"/>
        </patternFill>
      </fill>
    </dxf>
    <dxf>
      <fill>
        <patternFill>
          <bgColor rgb="FFFFEBEE"/>
        </patternFill>
      </fill>
    </dxf>
    <dxf>
      <fill>
        <patternFill>
          <bgColor rgb="FFE8F5E9"/>
        </patternFill>
      </fill>
    </dxf>
    <dxf>
      <fill>
        <patternFill>
          <bgColor rgb="FFFFEBEE"/>
        </patternFill>
      </fill>
    </dxf>
    <dxf>
      <fill>
        <patternFill>
          <bgColor rgb="FFE8F5E9"/>
        </patternFill>
      </fill>
    </dxf>
    <dxf>
      <font>
        <color rgb="FFC62828"/>
      </font>
    </dxf>
    <dxf>
      <font>
        <color rgb="FF2E7D32"/>
      </font>
    </dxf>
    <dxf>
      <font>
        <color rgb="FFC62828"/>
      </font>
      <fill>
        <patternFill>
          <bgColor rgb="FFFFEBEE"/>
        </patternFill>
      </fill>
    </dxf>
    <dxf>
      <font>
        <color rgb="FF2E7D32"/>
      </font>
      <fill>
        <patternFill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8E1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EB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66"/>
      <rgbColor rgb="FF969696"/>
      <rgbColor rgb="FF003366"/>
      <rgbColor rgb="FF2E7D32"/>
      <rgbColor rgb="FF003300"/>
      <rgbColor rgb="FF333300"/>
      <rgbColor rgb="FFC62828"/>
      <rgbColor rgb="FF993366"/>
      <rgbColor rgb="FF2E5090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88888"/>
  </sheetPr>
  <dimension ref="A1:E34"/>
  <sheetViews>
    <sheetView zoomScaleNormal="100" workbookViewId="0">
      <selection sqref="A1:E1"/>
    </sheetView>
  </sheetViews>
  <sheetFormatPr baseColWidth="10" defaultColWidth="8.6640625" defaultRowHeight="15" customHeight="1" x14ac:dyDescent="0.2"/>
  <cols>
    <col min="1" max="1" width="5" customWidth="1"/>
    <col min="2" max="2" width="80" customWidth="1"/>
  </cols>
  <sheetData>
    <row r="1" spans="1:5" ht="17.25" customHeight="1" x14ac:dyDescent="0.2">
      <c r="A1" s="2" t="s">
        <v>0</v>
      </c>
      <c r="B1" s="2"/>
      <c r="C1" s="2"/>
      <c r="D1" s="2"/>
      <c r="E1" s="2"/>
    </row>
    <row r="3" spans="1:5" ht="15" customHeight="1" x14ac:dyDescent="0.2">
      <c r="A3" s="1" t="s">
        <v>1</v>
      </c>
      <c r="B3" s="1"/>
    </row>
    <row r="4" spans="1:5" ht="57" customHeight="1" x14ac:dyDescent="0.2">
      <c r="B4" s="3" t="s">
        <v>2</v>
      </c>
    </row>
    <row r="5" spans="1:5" ht="15" customHeight="1" x14ac:dyDescent="0.2">
      <c r="B5" s="3" t="s">
        <v>3</v>
      </c>
    </row>
    <row r="6" spans="1:5" ht="27" customHeight="1" x14ac:dyDescent="0.2">
      <c r="B6" s="3" t="s">
        <v>4</v>
      </c>
    </row>
    <row r="7" spans="1:5" ht="19.5" customHeight="1" x14ac:dyDescent="0.2">
      <c r="B7" s="3" t="s">
        <v>5</v>
      </c>
    </row>
    <row r="8" spans="1:5" ht="18.75" customHeight="1" x14ac:dyDescent="0.2">
      <c r="B8" s="3" t="s">
        <v>6</v>
      </c>
    </row>
    <row r="9" spans="1:5" ht="15" customHeight="1" x14ac:dyDescent="0.2">
      <c r="B9" s="3"/>
    </row>
    <row r="10" spans="1:5" ht="15" customHeight="1" x14ac:dyDescent="0.2">
      <c r="A10" s="1" t="s">
        <v>7</v>
      </c>
      <c r="B10" s="1"/>
    </row>
    <row r="11" spans="1:5" ht="43.5" customHeight="1" x14ac:dyDescent="0.2">
      <c r="B11" s="3" t="s">
        <v>8</v>
      </c>
    </row>
    <row r="12" spans="1:5" ht="15" customHeight="1" x14ac:dyDescent="0.2">
      <c r="B12" s="3"/>
    </row>
    <row r="13" spans="1:5" ht="15" customHeight="1" x14ac:dyDescent="0.2">
      <c r="A13" s="1" t="s">
        <v>9</v>
      </c>
      <c r="B13" s="1"/>
    </row>
    <row r="14" spans="1:5" ht="54.75" customHeight="1" x14ac:dyDescent="0.2">
      <c r="B14" s="3" t="s">
        <v>10</v>
      </c>
    </row>
    <row r="15" spans="1:5" ht="15" customHeight="1" x14ac:dyDescent="0.2">
      <c r="B15" s="3"/>
    </row>
    <row r="16" spans="1:5" ht="15" customHeight="1" x14ac:dyDescent="0.2">
      <c r="A16" s="1" t="s">
        <v>11</v>
      </c>
      <c r="B16" s="1"/>
    </row>
    <row r="17" spans="1:2" ht="33.75" customHeight="1" x14ac:dyDescent="0.2">
      <c r="B17" s="3" t="s">
        <v>12</v>
      </c>
    </row>
    <row r="18" spans="1:2" ht="15" customHeight="1" x14ac:dyDescent="0.2">
      <c r="B18" s="3"/>
    </row>
    <row r="19" spans="1:2" ht="15" customHeight="1" x14ac:dyDescent="0.2">
      <c r="A19" s="1" t="s">
        <v>13</v>
      </c>
      <c r="B19" s="1"/>
    </row>
    <row r="20" spans="1:2" ht="18.75" customHeight="1" x14ac:dyDescent="0.2">
      <c r="B20" s="3" t="s">
        <v>14</v>
      </c>
    </row>
    <row r="21" spans="1:2" ht="24.75" customHeight="1" x14ac:dyDescent="0.2">
      <c r="B21" s="3" t="s">
        <v>15</v>
      </c>
    </row>
    <row r="22" spans="1:2" ht="22.5" customHeight="1" x14ac:dyDescent="0.2">
      <c r="B22" s="3" t="s">
        <v>16</v>
      </c>
    </row>
    <row r="23" spans="1:2" ht="18.75" customHeight="1" x14ac:dyDescent="0.2">
      <c r="B23" s="3" t="s">
        <v>17</v>
      </c>
    </row>
    <row r="24" spans="1:2" ht="31.5" customHeight="1" x14ac:dyDescent="0.2">
      <c r="B24" s="3" t="s">
        <v>18</v>
      </c>
    </row>
    <row r="26" spans="1:2" ht="15" customHeight="1" x14ac:dyDescent="0.2">
      <c r="A26" s="1" t="s">
        <v>19</v>
      </c>
      <c r="B26" s="1"/>
    </row>
    <row r="27" spans="1:2" ht="40.5" customHeight="1" x14ac:dyDescent="0.2">
      <c r="B27" s="3" t="s">
        <v>20</v>
      </c>
    </row>
    <row r="28" spans="1:2" ht="36.75" customHeight="1" x14ac:dyDescent="0.2">
      <c r="B28" s="3" t="s">
        <v>21</v>
      </c>
    </row>
    <row r="29" spans="1:2" ht="37.5" customHeight="1" x14ac:dyDescent="0.2">
      <c r="B29" s="3" t="s">
        <v>22</v>
      </c>
    </row>
    <row r="30" spans="1:2" ht="46.5" customHeight="1" x14ac:dyDescent="0.2">
      <c r="B30" s="3" t="s">
        <v>23</v>
      </c>
    </row>
    <row r="31" spans="1:2" ht="36.75" customHeight="1" x14ac:dyDescent="0.2">
      <c r="B31" s="3" t="s">
        <v>24</v>
      </c>
    </row>
    <row r="32" spans="1:2" ht="22.5" customHeight="1" x14ac:dyDescent="0.2">
      <c r="B32" s="3" t="s">
        <v>25</v>
      </c>
    </row>
    <row r="33" spans="2:2" ht="36.75" customHeight="1" x14ac:dyDescent="0.2">
      <c r="B33" s="3" t="s">
        <v>26</v>
      </c>
    </row>
    <row r="34" spans="2:2" ht="39.75" customHeight="1" x14ac:dyDescent="0.2">
      <c r="B34" s="3" t="s">
        <v>27</v>
      </c>
    </row>
  </sheetData>
  <mergeCells count="7">
    <mergeCell ref="A19:B19"/>
    <mergeCell ref="A26:B26"/>
    <mergeCell ref="A1:E1"/>
    <mergeCell ref="A3:B3"/>
    <mergeCell ref="A10:B10"/>
    <mergeCell ref="A13:B13"/>
    <mergeCell ref="A16:B1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2A4A"/>
  </sheetPr>
  <dimension ref="A1:AC500"/>
  <sheetViews>
    <sheetView tabSelected="1" zoomScaleNormal="100" workbookViewId="0">
      <pane ySplit="1" topLeftCell="A2" activePane="bottomLeft" state="frozen"/>
      <selection pane="bottomLeft" activeCell="F2" sqref="F2"/>
    </sheetView>
  </sheetViews>
  <sheetFormatPr baseColWidth="10" defaultColWidth="8.6640625" defaultRowHeight="15" customHeight="1" x14ac:dyDescent="0.2"/>
  <cols>
    <col min="1" max="1" width="8" customWidth="1"/>
    <col min="2" max="2" width="12" customWidth="1"/>
    <col min="3" max="5" width="10" customWidth="1"/>
    <col min="6" max="6" width="14" customWidth="1"/>
    <col min="7" max="9" width="12" customWidth="1"/>
    <col min="10" max="10" width="10" customWidth="1"/>
    <col min="11" max="11" width="12" customWidth="1"/>
    <col min="12" max="12" width="10" customWidth="1"/>
    <col min="13" max="13" width="14" customWidth="1"/>
    <col min="14" max="14" width="12" customWidth="1"/>
    <col min="15" max="18" width="10" customWidth="1"/>
    <col min="19" max="19" width="25" customWidth="1"/>
    <col min="20" max="20" width="20" customWidth="1"/>
    <col min="21" max="22" width="8" customWidth="1"/>
    <col min="23" max="23" width="12" customWidth="1"/>
    <col min="24" max="24" width="20" customWidth="1"/>
    <col min="25" max="25" width="12" customWidth="1"/>
    <col min="26" max="28" width="10" customWidth="1"/>
    <col min="29" max="29" width="12" customWidth="1"/>
  </cols>
  <sheetData>
    <row r="1" spans="1:29" ht="39" customHeight="1" x14ac:dyDescent="0.2">
      <c r="A1" s="4" t="s">
        <v>28</v>
      </c>
      <c r="B1" s="4" t="s">
        <v>29</v>
      </c>
      <c r="C1" s="4" t="s">
        <v>30</v>
      </c>
      <c r="D1" s="4" t="s">
        <v>31</v>
      </c>
      <c r="E1" s="4" t="s">
        <v>32</v>
      </c>
      <c r="F1" s="4" t="s">
        <v>33</v>
      </c>
      <c r="G1" s="4" t="s">
        <v>34</v>
      </c>
      <c r="H1" s="4" t="s">
        <v>35</v>
      </c>
      <c r="I1" s="4" t="s">
        <v>36</v>
      </c>
      <c r="J1" s="4" t="s">
        <v>37</v>
      </c>
      <c r="K1" s="4" t="s">
        <v>38</v>
      </c>
      <c r="L1" s="4" t="s">
        <v>39</v>
      </c>
      <c r="M1" s="4" t="s">
        <v>40</v>
      </c>
      <c r="N1" s="4" t="s">
        <v>41</v>
      </c>
      <c r="O1" s="4" t="s">
        <v>42</v>
      </c>
      <c r="P1" s="4" t="s">
        <v>43</v>
      </c>
      <c r="Q1" s="4" t="s">
        <v>44</v>
      </c>
      <c r="R1" s="4" t="s">
        <v>45</v>
      </c>
      <c r="S1" s="4" t="s">
        <v>46</v>
      </c>
      <c r="T1" s="4" t="s">
        <v>47</v>
      </c>
      <c r="U1" s="4" t="s">
        <v>48</v>
      </c>
      <c r="V1" s="4" t="s">
        <v>49</v>
      </c>
      <c r="W1" s="4" t="s">
        <v>50</v>
      </c>
      <c r="X1" s="4" t="s">
        <v>51</v>
      </c>
      <c r="Y1" s="4" t="s">
        <v>52</v>
      </c>
      <c r="Z1" s="4" t="s">
        <v>53</v>
      </c>
      <c r="AA1" s="4" t="s">
        <v>54</v>
      </c>
      <c r="AB1" s="4" t="s">
        <v>55</v>
      </c>
      <c r="AC1" s="4" t="s">
        <v>56</v>
      </c>
    </row>
    <row r="2" spans="1:29" ht="15" customHeight="1" x14ac:dyDescent="0.2">
      <c r="A2" s="5">
        <v>1</v>
      </c>
      <c r="B2" s="6" t="s">
        <v>57</v>
      </c>
      <c r="C2" s="7">
        <v>0.63378472222222204</v>
      </c>
      <c r="D2" s="5" t="s">
        <v>58</v>
      </c>
      <c r="E2" s="5" t="s">
        <v>59</v>
      </c>
      <c r="F2" s="5" t="s">
        <v>84</v>
      </c>
      <c r="G2" s="8">
        <v>396</v>
      </c>
      <c r="H2" s="5"/>
      <c r="I2" s="5"/>
      <c r="J2" s="8">
        <v>20</v>
      </c>
      <c r="K2" s="8">
        <v>397.14</v>
      </c>
      <c r="L2" s="7">
        <v>0.65512731481481501</v>
      </c>
      <c r="M2" s="8"/>
      <c r="N2" s="9">
        <v>22.8</v>
      </c>
      <c r="O2" s="10">
        <v>2.879E-3</v>
      </c>
      <c r="P2" s="11" t="str">
        <f>IF(OR(H2="",H2=0),"",N2/(ABS(G2-H2)*J2))</f>
        <v/>
      </c>
      <c r="Q2" s="12" t="s">
        <v>60</v>
      </c>
      <c r="R2" s="11">
        <v>30</v>
      </c>
      <c r="S2" s="5"/>
      <c r="T2" s="5"/>
      <c r="U2" s="5"/>
      <c r="V2" s="5"/>
      <c r="W2" s="5"/>
      <c r="X2" s="5"/>
      <c r="Y2" s="5"/>
      <c r="Z2" s="8"/>
      <c r="AA2" s="8"/>
      <c r="AB2" s="8"/>
      <c r="AC2" s="8">
        <f>IF(N2="","",N2-IF(Z2="",0,Z2))</f>
        <v>22.8</v>
      </c>
    </row>
    <row r="3" spans="1:29" ht="15" customHeight="1" x14ac:dyDescent="0.2">
      <c r="A3" s="5">
        <v>2</v>
      </c>
      <c r="B3" s="6" t="s">
        <v>57</v>
      </c>
      <c r="C3" s="7">
        <v>0.66119212962963003</v>
      </c>
      <c r="D3" s="5" t="s">
        <v>58</v>
      </c>
      <c r="E3" s="5" t="s">
        <v>59</v>
      </c>
      <c r="F3" s="5" t="s">
        <v>84</v>
      </c>
      <c r="G3" s="8">
        <v>397.47</v>
      </c>
      <c r="H3" s="5"/>
      <c r="I3" s="5"/>
      <c r="J3" s="8">
        <v>20</v>
      </c>
      <c r="K3" s="8">
        <v>397.49</v>
      </c>
      <c r="L3" s="7">
        <v>0.66364583333333305</v>
      </c>
      <c r="M3" s="8"/>
      <c r="N3" s="9">
        <v>0.4</v>
      </c>
      <c r="O3" s="10">
        <v>5.0000000000000002E-5</v>
      </c>
      <c r="P3" s="11" t="str">
        <f>IF(OR(H3="",H3=0),"",N3/(ABS(G3-H3)*J3))</f>
        <v/>
      </c>
      <c r="Q3" s="12" t="s">
        <v>60</v>
      </c>
      <c r="R3" s="11">
        <v>3</v>
      </c>
      <c r="S3" s="5"/>
      <c r="T3" s="5"/>
      <c r="U3" s="5"/>
      <c r="V3" s="5"/>
      <c r="W3" s="5"/>
      <c r="X3" s="5"/>
      <c r="Y3" s="5"/>
      <c r="Z3" s="8"/>
      <c r="AA3" s="8"/>
      <c r="AB3" s="8"/>
      <c r="AC3" s="8">
        <f t="shared" ref="AC3:AC65" si="0">IF(N3="","",N3-IF(Z3="",0,Z3))</f>
        <v>0.4</v>
      </c>
    </row>
    <row r="4" spans="1:29" ht="15" customHeight="1" x14ac:dyDescent="0.2">
      <c r="A4" s="5">
        <v>3</v>
      </c>
      <c r="B4" s="6" t="s">
        <v>57</v>
      </c>
      <c r="C4" s="7">
        <v>0.66622685185185204</v>
      </c>
      <c r="D4" s="5" t="s">
        <v>58</v>
      </c>
      <c r="E4" s="5" t="s">
        <v>59</v>
      </c>
      <c r="F4" s="5" t="s">
        <v>84</v>
      </c>
      <c r="G4" s="8">
        <v>397.17</v>
      </c>
      <c r="H4" s="5"/>
      <c r="I4" s="5"/>
      <c r="J4" s="8">
        <v>20</v>
      </c>
      <c r="K4" s="8">
        <v>398.96</v>
      </c>
      <c r="L4" s="7">
        <v>0.68135416666666704</v>
      </c>
      <c r="M4" s="8"/>
      <c r="N4" s="9">
        <v>35.799999999999997</v>
      </c>
      <c r="O4" s="10">
        <v>4.5069999999999997E-3</v>
      </c>
      <c r="P4" s="11" t="str">
        <f>IF(OR(H4="",H4=0),"",N4/(ABS(G4-H4)*J4))</f>
        <v/>
      </c>
      <c r="Q4" s="12" t="s">
        <v>60</v>
      </c>
      <c r="R4" s="11">
        <v>21</v>
      </c>
      <c r="S4" s="5"/>
      <c r="T4" s="5"/>
      <c r="U4" s="5"/>
      <c r="V4" s="5"/>
      <c r="W4" s="5"/>
      <c r="X4" s="5"/>
      <c r="Y4" s="5"/>
      <c r="Z4" s="8"/>
      <c r="AA4" s="8"/>
      <c r="AB4" s="8"/>
      <c r="AC4" s="8">
        <f t="shared" si="0"/>
        <v>35.799999999999997</v>
      </c>
    </row>
    <row r="5" spans="1:29" ht="15" customHeight="1" x14ac:dyDescent="0.2">
      <c r="A5" s="5">
        <v>4</v>
      </c>
      <c r="B5" s="6" t="s">
        <v>57</v>
      </c>
      <c r="C5" s="7">
        <v>0.76141203703703697</v>
      </c>
      <c r="D5" s="5" t="s">
        <v>61</v>
      </c>
      <c r="E5" s="5" t="s">
        <v>59</v>
      </c>
      <c r="F5" s="5" t="s">
        <v>84</v>
      </c>
      <c r="G5" s="8">
        <v>51.85</v>
      </c>
      <c r="H5" s="5"/>
      <c r="I5" s="5"/>
      <c r="J5" s="8">
        <v>100</v>
      </c>
      <c r="K5" s="8">
        <v>52.21</v>
      </c>
      <c r="L5" s="7">
        <v>0.77497685185185206</v>
      </c>
      <c r="M5" s="8"/>
      <c r="N5" s="9">
        <v>36</v>
      </c>
      <c r="O5" s="10">
        <v>6.9430000000000004E-3</v>
      </c>
      <c r="P5" s="11" t="str">
        <f>IF(OR(H5="",H5=0),"",N5/(ABS(G5-H5)*J5))</f>
        <v/>
      </c>
      <c r="Q5" s="12" t="s">
        <v>60</v>
      </c>
      <c r="R5" s="11">
        <v>19</v>
      </c>
      <c r="S5" s="5"/>
      <c r="T5" s="5"/>
      <c r="U5" s="5"/>
      <c r="V5" s="5"/>
      <c r="W5" s="5"/>
      <c r="X5" s="5"/>
      <c r="Y5" s="5"/>
      <c r="Z5" s="8"/>
      <c r="AA5" s="8"/>
      <c r="AB5" s="8"/>
      <c r="AC5" s="8">
        <f t="shared" si="0"/>
        <v>36</v>
      </c>
    </row>
    <row r="6" spans="1:29" ht="15" customHeight="1" x14ac:dyDescent="0.2">
      <c r="A6" s="5">
        <v>5</v>
      </c>
      <c r="B6" s="6" t="s">
        <v>57</v>
      </c>
      <c r="C6" s="7">
        <v>0.77973379629629602</v>
      </c>
      <c r="D6" s="5" t="s">
        <v>61</v>
      </c>
      <c r="E6" s="5" t="s">
        <v>59</v>
      </c>
      <c r="F6" s="5" t="s">
        <v>84</v>
      </c>
      <c r="G6" s="8">
        <v>51.81</v>
      </c>
      <c r="H6" s="5"/>
      <c r="I6" s="5"/>
      <c r="J6" s="8">
        <v>100</v>
      </c>
      <c r="K6" s="8">
        <v>51.76</v>
      </c>
      <c r="L6" s="7">
        <v>0.78814814814814804</v>
      </c>
      <c r="M6" s="8"/>
      <c r="N6" s="13">
        <v>-5</v>
      </c>
      <c r="O6" s="10">
        <v>-9.6500000000000004E-4</v>
      </c>
      <c r="P6" s="11" t="str">
        <f>IF(OR(H6="",H6=0),"",N6/(ABS(G6-H6)*J6))</f>
        <v/>
      </c>
      <c r="Q6" s="14" t="s">
        <v>62</v>
      </c>
      <c r="R6" s="11">
        <v>12</v>
      </c>
      <c r="S6" s="5"/>
      <c r="T6" s="5"/>
      <c r="U6" s="5"/>
      <c r="V6" s="5"/>
      <c r="W6" s="5"/>
      <c r="X6" s="5"/>
      <c r="Y6" s="5"/>
      <c r="Z6" s="8"/>
      <c r="AA6" s="8"/>
      <c r="AB6" s="8"/>
      <c r="AC6" s="8">
        <f t="shared" si="0"/>
        <v>-5</v>
      </c>
    </row>
    <row r="7" spans="1:29" ht="15" customHeight="1" x14ac:dyDescent="0.2">
      <c r="A7" s="15"/>
      <c r="B7" s="16"/>
      <c r="C7" s="17"/>
      <c r="D7" s="15"/>
      <c r="E7" s="15"/>
      <c r="F7" s="15"/>
      <c r="G7" s="15"/>
      <c r="H7" s="15"/>
      <c r="I7" s="15"/>
      <c r="J7" s="15"/>
      <c r="K7" s="15"/>
      <c r="L7" s="17"/>
      <c r="M7" s="15"/>
      <c r="N7" s="18"/>
      <c r="O7" s="19"/>
      <c r="P7" s="20"/>
      <c r="Q7" s="15"/>
      <c r="R7" s="15"/>
      <c r="S7" s="15"/>
      <c r="T7" s="15"/>
      <c r="U7" s="21"/>
      <c r="V7" s="21"/>
      <c r="W7" s="21"/>
      <c r="X7" s="21"/>
      <c r="Y7" s="21"/>
      <c r="Z7" s="22"/>
      <c r="AA7" s="22"/>
      <c r="AB7" s="22"/>
      <c r="AC7" s="22" t="str">
        <f t="shared" si="0"/>
        <v/>
      </c>
    </row>
    <row r="8" spans="1:29" ht="15" customHeight="1" x14ac:dyDescent="0.2">
      <c r="A8" s="15"/>
      <c r="B8" s="16"/>
      <c r="C8" s="17"/>
      <c r="D8" s="15"/>
      <c r="E8" s="15"/>
      <c r="F8" s="15"/>
      <c r="G8" s="15"/>
      <c r="H8" s="15"/>
      <c r="I8" s="15"/>
      <c r="J8" s="15"/>
      <c r="K8" s="15"/>
      <c r="L8" s="17"/>
      <c r="M8" s="15"/>
      <c r="N8" s="18"/>
      <c r="O8" s="19"/>
      <c r="P8" s="20"/>
      <c r="Q8" s="15"/>
      <c r="R8" s="15"/>
      <c r="S8" s="15"/>
      <c r="T8" s="15"/>
      <c r="U8" s="21"/>
      <c r="V8" s="21"/>
      <c r="W8" s="21"/>
      <c r="X8" s="21"/>
      <c r="Y8" s="21"/>
      <c r="Z8" s="22"/>
      <c r="AA8" s="22"/>
      <c r="AB8" s="22"/>
      <c r="AC8" s="22" t="str">
        <f t="shared" si="0"/>
        <v/>
      </c>
    </row>
    <row r="9" spans="1:29" ht="15" customHeight="1" x14ac:dyDescent="0.2">
      <c r="A9" s="15"/>
      <c r="B9" s="16"/>
      <c r="C9" s="17"/>
      <c r="D9" s="15"/>
      <c r="E9" s="15"/>
      <c r="F9" s="15"/>
      <c r="G9" s="15"/>
      <c r="H9" s="15"/>
      <c r="I9" s="15"/>
      <c r="J9" s="15"/>
      <c r="K9" s="15"/>
      <c r="L9" s="17"/>
      <c r="M9" s="15"/>
      <c r="N9" s="18"/>
      <c r="O9" s="19"/>
      <c r="P9" s="20"/>
      <c r="Q9" s="15"/>
      <c r="R9" s="15"/>
      <c r="S9" s="15"/>
      <c r="T9" s="15"/>
      <c r="U9" s="21"/>
      <c r="V9" s="21"/>
      <c r="W9" s="21"/>
      <c r="X9" s="21"/>
      <c r="Y9" s="21"/>
      <c r="Z9" s="22"/>
      <c r="AA9" s="22"/>
      <c r="AB9" s="22"/>
      <c r="AC9" s="22" t="str">
        <f t="shared" si="0"/>
        <v/>
      </c>
    </row>
    <row r="10" spans="1:29" ht="15" customHeight="1" x14ac:dyDescent="0.2">
      <c r="A10" s="15"/>
      <c r="B10" s="16"/>
      <c r="C10" s="17"/>
      <c r="D10" s="15"/>
      <c r="E10" s="15"/>
      <c r="F10" s="15"/>
      <c r="G10" s="15"/>
      <c r="H10" s="15"/>
      <c r="I10" s="15"/>
      <c r="J10" s="15"/>
      <c r="K10" s="15"/>
      <c r="L10" s="17"/>
      <c r="M10" s="15"/>
      <c r="N10" s="18"/>
      <c r="O10" s="19"/>
      <c r="P10" s="20"/>
      <c r="Q10" s="15"/>
      <c r="R10" s="15"/>
      <c r="S10" s="15"/>
      <c r="T10" s="15"/>
      <c r="U10" s="21"/>
      <c r="V10" s="21"/>
      <c r="W10" s="21"/>
      <c r="X10" s="21"/>
      <c r="Y10" s="21"/>
      <c r="Z10" s="22"/>
      <c r="AA10" s="22"/>
      <c r="AB10" s="22"/>
      <c r="AC10" s="22" t="str">
        <f t="shared" si="0"/>
        <v/>
      </c>
    </row>
    <row r="11" spans="1:29" ht="15" customHeight="1" x14ac:dyDescent="0.2">
      <c r="A11" s="15"/>
      <c r="B11" s="16"/>
      <c r="C11" s="17"/>
      <c r="D11" s="15"/>
      <c r="E11" s="15"/>
      <c r="F11" s="15"/>
      <c r="G11" s="15"/>
      <c r="H11" s="15"/>
      <c r="I11" s="15"/>
      <c r="J11" s="15"/>
      <c r="K11" s="15"/>
      <c r="L11" s="17"/>
      <c r="M11" s="15"/>
      <c r="N11" s="18"/>
      <c r="O11" s="19"/>
      <c r="P11" s="20"/>
      <c r="Q11" s="15"/>
      <c r="R11" s="15"/>
      <c r="S11" s="15"/>
      <c r="T11" s="15"/>
      <c r="U11" s="21"/>
      <c r="V11" s="21"/>
      <c r="W11" s="21"/>
      <c r="X11" s="21"/>
      <c r="Y11" s="21"/>
      <c r="Z11" s="22"/>
      <c r="AA11" s="22"/>
      <c r="AB11" s="22"/>
      <c r="AC11" s="22" t="str">
        <f t="shared" si="0"/>
        <v/>
      </c>
    </row>
    <row r="12" spans="1:29" ht="15" customHeight="1" x14ac:dyDescent="0.2">
      <c r="A12" s="15"/>
      <c r="B12" s="16"/>
      <c r="C12" s="17"/>
      <c r="D12" s="15"/>
      <c r="E12" s="15"/>
      <c r="F12" s="15"/>
      <c r="G12" s="15"/>
      <c r="H12" s="15"/>
      <c r="I12" s="15"/>
      <c r="J12" s="15"/>
      <c r="K12" s="15"/>
      <c r="L12" s="17"/>
      <c r="M12" s="15"/>
      <c r="N12" s="18"/>
      <c r="O12" s="19"/>
      <c r="P12" s="20"/>
      <c r="Q12" s="15"/>
      <c r="R12" s="15"/>
      <c r="S12" s="15"/>
      <c r="T12" s="15"/>
      <c r="U12" s="21"/>
      <c r="V12" s="21"/>
      <c r="W12" s="21"/>
      <c r="X12" s="21"/>
      <c r="Y12" s="21"/>
      <c r="Z12" s="22"/>
      <c r="AA12" s="22"/>
      <c r="AB12" s="22"/>
      <c r="AC12" s="22" t="str">
        <f t="shared" si="0"/>
        <v/>
      </c>
    </row>
    <row r="13" spans="1:29" ht="15" customHeight="1" x14ac:dyDescent="0.2">
      <c r="A13" s="15"/>
      <c r="B13" s="16"/>
      <c r="C13" s="17"/>
      <c r="D13" s="15"/>
      <c r="E13" s="15"/>
      <c r="F13" s="15"/>
      <c r="G13" s="15"/>
      <c r="H13" s="15"/>
      <c r="I13" s="15"/>
      <c r="J13" s="15"/>
      <c r="K13" s="15"/>
      <c r="L13" s="17"/>
      <c r="M13" s="15"/>
      <c r="N13" s="18"/>
      <c r="O13" s="19"/>
      <c r="P13" s="20"/>
      <c r="Q13" s="15"/>
      <c r="R13" s="15"/>
      <c r="S13" s="15"/>
      <c r="T13" s="15"/>
      <c r="U13" s="21"/>
      <c r="V13" s="21"/>
      <c r="W13" s="21"/>
      <c r="X13" s="21"/>
      <c r="Y13" s="21"/>
      <c r="Z13" s="22"/>
      <c r="AA13" s="22"/>
      <c r="AB13" s="22"/>
      <c r="AC13" s="22" t="str">
        <f t="shared" si="0"/>
        <v/>
      </c>
    </row>
    <row r="14" spans="1:29" ht="15" customHeight="1" x14ac:dyDescent="0.2">
      <c r="A14" t="str">
        <f t="shared" ref="A14:A77" si="1">IF(B14="","",ROW()-1)</f>
        <v/>
      </c>
      <c r="N14" s="23" t="str">
        <f t="shared" ref="N14:N77" si="2">IF(OR(K14="",G14="",J14=""),"",IF(E14="LONG",(K14-G14)*J14,(G14-K14)*J14))</f>
        <v/>
      </c>
      <c r="O14" s="24" t="str">
        <f t="shared" ref="O14:O77" si="3">IF(OR(K14="",G14="",G14=0),"",IF(E14="LONG",(K14-G14)/G14,(G14-K14)/G14))</f>
        <v/>
      </c>
      <c r="P14" s="25" t="str">
        <f t="shared" ref="P14:P77" si="4">IF(OR(N14="",H14="",G14="",ABS(G14-H14)=0),"",N14/(ABS(G14-H14)*J14))</f>
        <v/>
      </c>
      <c r="Q14" t="str">
        <f t="shared" ref="Q14:Q77" si="5">IF(N14="","",IF(N14&gt;0,"WIN",IF(N14&lt;0,"LOSS","FLAT")))</f>
        <v/>
      </c>
      <c r="AC14" s="23" t="str">
        <f t="shared" si="0"/>
        <v/>
      </c>
    </row>
    <row r="15" spans="1:29" ht="15" customHeight="1" x14ac:dyDescent="0.2">
      <c r="A15" t="str">
        <f t="shared" si="1"/>
        <v/>
      </c>
      <c r="N15" s="23" t="str">
        <f t="shared" si="2"/>
        <v/>
      </c>
      <c r="O15" s="24" t="str">
        <f t="shared" si="3"/>
        <v/>
      </c>
      <c r="P15" s="25" t="str">
        <f t="shared" si="4"/>
        <v/>
      </c>
      <c r="Q15" t="str">
        <f t="shared" si="5"/>
        <v/>
      </c>
      <c r="AC15" s="23" t="str">
        <f t="shared" si="0"/>
        <v/>
      </c>
    </row>
    <row r="16" spans="1:29" ht="15" customHeight="1" x14ac:dyDescent="0.2">
      <c r="A16" t="str">
        <f t="shared" si="1"/>
        <v/>
      </c>
      <c r="N16" s="23" t="str">
        <f t="shared" si="2"/>
        <v/>
      </c>
      <c r="O16" s="24" t="str">
        <f t="shared" si="3"/>
        <v/>
      </c>
      <c r="P16" s="25" t="str">
        <f t="shared" si="4"/>
        <v/>
      </c>
      <c r="Q16" t="str">
        <f t="shared" si="5"/>
        <v/>
      </c>
      <c r="AC16" s="23" t="str">
        <f t="shared" si="0"/>
        <v/>
      </c>
    </row>
    <row r="17" spans="1:29" ht="15" customHeight="1" x14ac:dyDescent="0.2">
      <c r="A17" t="str">
        <f t="shared" si="1"/>
        <v/>
      </c>
      <c r="N17" s="23" t="str">
        <f t="shared" si="2"/>
        <v/>
      </c>
      <c r="O17" s="24" t="str">
        <f t="shared" si="3"/>
        <v/>
      </c>
      <c r="P17" s="25" t="str">
        <f t="shared" si="4"/>
        <v/>
      </c>
      <c r="Q17" t="str">
        <f t="shared" si="5"/>
        <v/>
      </c>
      <c r="AC17" s="23" t="str">
        <f t="shared" si="0"/>
        <v/>
      </c>
    </row>
    <row r="18" spans="1:29" ht="15" customHeight="1" x14ac:dyDescent="0.2">
      <c r="A18" t="str">
        <f t="shared" si="1"/>
        <v/>
      </c>
      <c r="N18" s="23" t="str">
        <f t="shared" si="2"/>
        <v/>
      </c>
      <c r="O18" s="24" t="str">
        <f t="shared" si="3"/>
        <v/>
      </c>
      <c r="P18" s="25" t="str">
        <f t="shared" si="4"/>
        <v/>
      </c>
      <c r="Q18" t="str">
        <f t="shared" si="5"/>
        <v/>
      </c>
      <c r="AC18" s="23" t="str">
        <f t="shared" si="0"/>
        <v/>
      </c>
    </row>
    <row r="19" spans="1:29" ht="15" customHeight="1" x14ac:dyDescent="0.2">
      <c r="A19" t="str">
        <f t="shared" si="1"/>
        <v/>
      </c>
      <c r="N19" s="23" t="str">
        <f t="shared" si="2"/>
        <v/>
      </c>
      <c r="O19" s="24" t="str">
        <f t="shared" si="3"/>
        <v/>
      </c>
      <c r="P19" s="25" t="str">
        <f t="shared" si="4"/>
        <v/>
      </c>
      <c r="Q19" t="str">
        <f t="shared" si="5"/>
        <v/>
      </c>
      <c r="AC19" s="23" t="str">
        <f t="shared" si="0"/>
        <v/>
      </c>
    </row>
    <row r="20" spans="1:29" ht="15" customHeight="1" x14ac:dyDescent="0.2">
      <c r="A20" t="str">
        <f t="shared" si="1"/>
        <v/>
      </c>
      <c r="N20" s="23" t="str">
        <f t="shared" si="2"/>
        <v/>
      </c>
      <c r="O20" s="24" t="str">
        <f t="shared" si="3"/>
        <v/>
      </c>
      <c r="P20" s="25" t="str">
        <f t="shared" si="4"/>
        <v/>
      </c>
      <c r="Q20" t="str">
        <f t="shared" si="5"/>
        <v/>
      </c>
      <c r="AC20" s="23" t="str">
        <f t="shared" si="0"/>
        <v/>
      </c>
    </row>
    <row r="21" spans="1:29" ht="15" customHeight="1" x14ac:dyDescent="0.2">
      <c r="A21" t="str">
        <f t="shared" si="1"/>
        <v/>
      </c>
      <c r="N21" s="23" t="str">
        <f t="shared" si="2"/>
        <v/>
      </c>
      <c r="O21" s="24" t="str">
        <f t="shared" si="3"/>
        <v/>
      </c>
      <c r="P21" s="25" t="str">
        <f t="shared" si="4"/>
        <v/>
      </c>
      <c r="Q21" t="str">
        <f t="shared" si="5"/>
        <v/>
      </c>
      <c r="AC21" s="23" t="str">
        <f t="shared" si="0"/>
        <v/>
      </c>
    </row>
    <row r="22" spans="1:29" ht="15" customHeight="1" x14ac:dyDescent="0.2">
      <c r="A22" t="str">
        <f t="shared" si="1"/>
        <v/>
      </c>
      <c r="N22" s="23" t="str">
        <f t="shared" si="2"/>
        <v/>
      </c>
      <c r="O22" s="24" t="str">
        <f t="shared" si="3"/>
        <v/>
      </c>
      <c r="P22" s="25" t="str">
        <f t="shared" si="4"/>
        <v/>
      </c>
      <c r="Q22" t="str">
        <f t="shared" si="5"/>
        <v/>
      </c>
      <c r="AC22" s="23" t="str">
        <f t="shared" si="0"/>
        <v/>
      </c>
    </row>
    <row r="23" spans="1:29" ht="15" customHeight="1" x14ac:dyDescent="0.2">
      <c r="A23" t="str">
        <f t="shared" si="1"/>
        <v/>
      </c>
      <c r="N23" s="23" t="str">
        <f t="shared" si="2"/>
        <v/>
      </c>
      <c r="O23" s="24" t="str">
        <f t="shared" si="3"/>
        <v/>
      </c>
      <c r="P23" s="25" t="str">
        <f t="shared" si="4"/>
        <v/>
      </c>
      <c r="Q23" t="str">
        <f t="shared" si="5"/>
        <v/>
      </c>
      <c r="AC23" s="23" t="str">
        <f t="shared" si="0"/>
        <v/>
      </c>
    </row>
    <row r="24" spans="1:29" ht="15" customHeight="1" x14ac:dyDescent="0.2">
      <c r="A24" t="str">
        <f t="shared" si="1"/>
        <v/>
      </c>
      <c r="N24" s="23" t="str">
        <f t="shared" si="2"/>
        <v/>
      </c>
      <c r="O24" s="24" t="str">
        <f t="shared" si="3"/>
        <v/>
      </c>
      <c r="P24" s="25" t="str">
        <f t="shared" si="4"/>
        <v/>
      </c>
      <c r="Q24" t="str">
        <f t="shared" si="5"/>
        <v/>
      </c>
      <c r="AC24" s="23" t="str">
        <f t="shared" si="0"/>
        <v/>
      </c>
    </row>
    <row r="25" spans="1:29" ht="15" customHeight="1" x14ac:dyDescent="0.2">
      <c r="A25" t="str">
        <f t="shared" si="1"/>
        <v/>
      </c>
      <c r="N25" s="23" t="str">
        <f t="shared" si="2"/>
        <v/>
      </c>
      <c r="O25" s="24" t="str">
        <f t="shared" si="3"/>
        <v/>
      </c>
      <c r="P25" s="25" t="str">
        <f t="shared" si="4"/>
        <v/>
      </c>
      <c r="Q25" t="str">
        <f t="shared" si="5"/>
        <v/>
      </c>
      <c r="AC25" s="23" t="str">
        <f t="shared" si="0"/>
        <v/>
      </c>
    </row>
    <row r="26" spans="1:29" ht="15" customHeight="1" x14ac:dyDescent="0.2">
      <c r="A26" t="str">
        <f t="shared" si="1"/>
        <v/>
      </c>
      <c r="N26" s="23" t="str">
        <f t="shared" si="2"/>
        <v/>
      </c>
      <c r="O26" s="24" t="str">
        <f t="shared" si="3"/>
        <v/>
      </c>
      <c r="P26" s="25" t="str">
        <f t="shared" si="4"/>
        <v/>
      </c>
      <c r="Q26" t="str">
        <f t="shared" si="5"/>
        <v/>
      </c>
      <c r="AC26" s="23" t="str">
        <f t="shared" si="0"/>
        <v/>
      </c>
    </row>
    <row r="27" spans="1:29" ht="15" customHeight="1" x14ac:dyDescent="0.2">
      <c r="A27" t="str">
        <f t="shared" si="1"/>
        <v/>
      </c>
      <c r="N27" s="23" t="str">
        <f t="shared" si="2"/>
        <v/>
      </c>
      <c r="O27" s="24" t="str">
        <f t="shared" si="3"/>
        <v/>
      </c>
      <c r="P27" s="25" t="str">
        <f t="shared" si="4"/>
        <v/>
      </c>
      <c r="Q27" t="str">
        <f t="shared" si="5"/>
        <v/>
      </c>
      <c r="AC27" s="23" t="str">
        <f t="shared" si="0"/>
        <v/>
      </c>
    </row>
    <row r="28" spans="1:29" ht="15" customHeight="1" x14ac:dyDescent="0.2">
      <c r="A28" t="str">
        <f t="shared" si="1"/>
        <v/>
      </c>
      <c r="N28" s="23" t="str">
        <f t="shared" si="2"/>
        <v/>
      </c>
      <c r="O28" s="24" t="str">
        <f t="shared" si="3"/>
        <v/>
      </c>
      <c r="P28" s="25" t="str">
        <f t="shared" si="4"/>
        <v/>
      </c>
      <c r="Q28" t="str">
        <f t="shared" si="5"/>
        <v/>
      </c>
      <c r="AC28" s="23" t="str">
        <f t="shared" si="0"/>
        <v/>
      </c>
    </row>
    <row r="29" spans="1:29" ht="15" customHeight="1" x14ac:dyDescent="0.2">
      <c r="A29" t="str">
        <f t="shared" si="1"/>
        <v/>
      </c>
      <c r="N29" s="23" t="str">
        <f t="shared" si="2"/>
        <v/>
      </c>
      <c r="O29" s="24" t="str">
        <f t="shared" si="3"/>
        <v/>
      </c>
      <c r="P29" s="25" t="str">
        <f t="shared" si="4"/>
        <v/>
      </c>
      <c r="Q29" t="str">
        <f t="shared" si="5"/>
        <v/>
      </c>
      <c r="AC29" s="23" t="str">
        <f t="shared" si="0"/>
        <v/>
      </c>
    </row>
    <row r="30" spans="1:29" ht="15" customHeight="1" x14ac:dyDescent="0.2">
      <c r="A30" t="str">
        <f t="shared" si="1"/>
        <v/>
      </c>
      <c r="N30" s="23" t="str">
        <f t="shared" si="2"/>
        <v/>
      </c>
      <c r="O30" s="24" t="str">
        <f t="shared" si="3"/>
        <v/>
      </c>
      <c r="P30" s="25" t="str">
        <f t="shared" si="4"/>
        <v/>
      </c>
      <c r="Q30" t="str">
        <f t="shared" si="5"/>
        <v/>
      </c>
      <c r="AC30" s="23" t="str">
        <f t="shared" si="0"/>
        <v/>
      </c>
    </row>
    <row r="31" spans="1:29" ht="15" customHeight="1" x14ac:dyDescent="0.2">
      <c r="A31" t="str">
        <f t="shared" si="1"/>
        <v/>
      </c>
      <c r="N31" s="23" t="str">
        <f t="shared" si="2"/>
        <v/>
      </c>
      <c r="O31" s="24" t="str">
        <f t="shared" si="3"/>
        <v/>
      </c>
      <c r="P31" s="25" t="str">
        <f t="shared" si="4"/>
        <v/>
      </c>
      <c r="Q31" t="str">
        <f t="shared" si="5"/>
        <v/>
      </c>
      <c r="AC31" s="23" t="str">
        <f t="shared" si="0"/>
        <v/>
      </c>
    </row>
    <row r="32" spans="1:29" ht="15" customHeight="1" x14ac:dyDescent="0.2">
      <c r="A32" t="str">
        <f t="shared" si="1"/>
        <v/>
      </c>
      <c r="N32" s="23" t="str">
        <f t="shared" si="2"/>
        <v/>
      </c>
      <c r="O32" s="24" t="str">
        <f t="shared" si="3"/>
        <v/>
      </c>
      <c r="P32" s="25" t="str">
        <f t="shared" si="4"/>
        <v/>
      </c>
      <c r="Q32" t="str">
        <f t="shared" si="5"/>
        <v/>
      </c>
      <c r="AC32" s="23" t="str">
        <f t="shared" si="0"/>
        <v/>
      </c>
    </row>
    <row r="33" spans="1:29" ht="15" customHeight="1" x14ac:dyDescent="0.2">
      <c r="A33" t="str">
        <f t="shared" si="1"/>
        <v/>
      </c>
      <c r="N33" s="23" t="str">
        <f t="shared" si="2"/>
        <v/>
      </c>
      <c r="O33" s="24" t="str">
        <f t="shared" si="3"/>
        <v/>
      </c>
      <c r="P33" s="25" t="str">
        <f t="shared" si="4"/>
        <v/>
      </c>
      <c r="Q33" t="str">
        <f t="shared" si="5"/>
        <v/>
      </c>
      <c r="AC33" s="23" t="str">
        <f t="shared" si="0"/>
        <v/>
      </c>
    </row>
    <row r="34" spans="1:29" ht="15" customHeight="1" x14ac:dyDescent="0.2">
      <c r="A34" t="str">
        <f t="shared" si="1"/>
        <v/>
      </c>
      <c r="N34" s="23" t="str">
        <f t="shared" si="2"/>
        <v/>
      </c>
      <c r="O34" s="24" t="str">
        <f t="shared" si="3"/>
        <v/>
      </c>
      <c r="P34" s="25" t="str">
        <f t="shared" si="4"/>
        <v/>
      </c>
      <c r="Q34" t="str">
        <f t="shared" si="5"/>
        <v/>
      </c>
      <c r="AC34" s="23" t="str">
        <f t="shared" si="0"/>
        <v/>
      </c>
    </row>
    <row r="35" spans="1:29" ht="15" customHeight="1" x14ac:dyDescent="0.2">
      <c r="A35" t="str">
        <f t="shared" si="1"/>
        <v/>
      </c>
      <c r="N35" s="23" t="str">
        <f t="shared" si="2"/>
        <v/>
      </c>
      <c r="O35" s="24" t="str">
        <f t="shared" si="3"/>
        <v/>
      </c>
      <c r="P35" s="25" t="str">
        <f t="shared" si="4"/>
        <v/>
      </c>
      <c r="Q35" t="str">
        <f t="shared" si="5"/>
        <v/>
      </c>
      <c r="AC35" s="23" t="str">
        <f t="shared" si="0"/>
        <v/>
      </c>
    </row>
    <row r="36" spans="1:29" ht="15" customHeight="1" x14ac:dyDescent="0.2">
      <c r="A36" t="str">
        <f t="shared" si="1"/>
        <v/>
      </c>
      <c r="N36" s="23" t="str">
        <f t="shared" si="2"/>
        <v/>
      </c>
      <c r="O36" s="24" t="str">
        <f t="shared" si="3"/>
        <v/>
      </c>
      <c r="P36" s="25" t="str">
        <f t="shared" si="4"/>
        <v/>
      </c>
      <c r="Q36" t="str">
        <f t="shared" si="5"/>
        <v/>
      </c>
      <c r="AC36" s="23" t="str">
        <f t="shared" si="0"/>
        <v/>
      </c>
    </row>
    <row r="37" spans="1:29" ht="15" customHeight="1" x14ac:dyDescent="0.2">
      <c r="A37" t="str">
        <f t="shared" si="1"/>
        <v/>
      </c>
      <c r="N37" s="23" t="str">
        <f t="shared" si="2"/>
        <v/>
      </c>
      <c r="O37" s="24" t="str">
        <f t="shared" si="3"/>
        <v/>
      </c>
      <c r="P37" s="25" t="str">
        <f t="shared" si="4"/>
        <v/>
      </c>
      <c r="Q37" t="str">
        <f t="shared" si="5"/>
        <v/>
      </c>
      <c r="AC37" s="23" t="str">
        <f t="shared" si="0"/>
        <v/>
      </c>
    </row>
    <row r="38" spans="1:29" ht="15" customHeight="1" x14ac:dyDescent="0.2">
      <c r="A38" t="str">
        <f t="shared" si="1"/>
        <v/>
      </c>
      <c r="N38" s="23" t="str">
        <f t="shared" si="2"/>
        <v/>
      </c>
      <c r="O38" s="24" t="str">
        <f t="shared" si="3"/>
        <v/>
      </c>
      <c r="P38" s="25" t="str">
        <f t="shared" si="4"/>
        <v/>
      </c>
      <c r="Q38" t="str">
        <f t="shared" si="5"/>
        <v/>
      </c>
      <c r="AC38" s="23" t="str">
        <f t="shared" si="0"/>
        <v/>
      </c>
    </row>
    <row r="39" spans="1:29" ht="15" customHeight="1" x14ac:dyDescent="0.2">
      <c r="A39" t="str">
        <f t="shared" si="1"/>
        <v/>
      </c>
      <c r="N39" s="23" t="str">
        <f t="shared" si="2"/>
        <v/>
      </c>
      <c r="O39" s="24" t="str">
        <f t="shared" si="3"/>
        <v/>
      </c>
      <c r="P39" s="25" t="str">
        <f t="shared" si="4"/>
        <v/>
      </c>
      <c r="Q39" t="str">
        <f t="shared" si="5"/>
        <v/>
      </c>
      <c r="AC39" s="23" t="str">
        <f t="shared" si="0"/>
        <v/>
      </c>
    </row>
    <row r="40" spans="1:29" ht="15" customHeight="1" x14ac:dyDescent="0.2">
      <c r="A40" t="str">
        <f t="shared" si="1"/>
        <v/>
      </c>
      <c r="N40" s="23" t="str">
        <f t="shared" si="2"/>
        <v/>
      </c>
      <c r="O40" s="24" t="str">
        <f t="shared" si="3"/>
        <v/>
      </c>
      <c r="P40" s="25" t="str">
        <f t="shared" si="4"/>
        <v/>
      </c>
      <c r="Q40" t="str">
        <f t="shared" si="5"/>
        <v/>
      </c>
      <c r="AC40" s="23" t="str">
        <f t="shared" si="0"/>
        <v/>
      </c>
    </row>
    <row r="41" spans="1:29" ht="15" customHeight="1" x14ac:dyDescent="0.2">
      <c r="A41" t="str">
        <f t="shared" si="1"/>
        <v/>
      </c>
      <c r="N41" s="23" t="str">
        <f t="shared" si="2"/>
        <v/>
      </c>
      <c r="O41" s="24" t="str">
        <f t="shared" si="3"/>
        <v/>
      </c>
      <c r="P41" s="25" t="str">
        <f t="shared" si="4"/>
        <v/>
      </c>
      <c r="Q41" t="str">
        <f t="shared" si="5"/>
        <v/>
      </c>
      <c r="AC41" s="23" t="str">
        <f t="shared" si="0"/>
        <v/>
      </c>
    </row>
    <row r="42" spans="1:29" ht="15" customHeight="1" x14ac:dyDescent="0.2">
      <c r="A42" t="str">
        <f t="shared" si="1"/>
        <v/>
      </c>
      <c r="N42" s="23" t="str">
        <f t="shared" si="2"/>
        <v/>
      </c>
      <c r="O42" s="24" t="str">
        <f t="shared" si="3"/>
        <v/>
      </c>
      <c r="P42" s="25" t="str">
        <f t="shared" si="4"/>
        <v/>
      </c>
      <c r="Q42" t="str">
        <f t="shared" si="5"/>
        <v/>
      </c>
      <c r="AC42" s="23" t="str">
        <f t="shared" si="0"/>
        <v/>
      </c>
    </row>
    <row r="43" spans="1:29" ht="15" customHeight="1" x14ac:dyDescent="0.2">
      <c r="A43" t="str">
        <f t="shared" si="1"/>
        <v/>
      </c>
      <c r="N43" s="23" t="str">
        <f t="shared" si="2"/>
        <v/>
      </c>
      <c r="O43" s="24" t="str">
        <f t="shared" si="3"/>
        <v/>
      </c>
      <c r="P43" s="25" t="str">
        <f t="shared" si="4"/>
        <v/>
      </c>
      <c r="Q43" t="str">
        <f t="shared" si="5"/>
        <v/>
      </c>
      <c r="AC43" s="23" t="str">
        <f t="shared" si="0"/>
        <v/>
      </c>
    </row>
    <row r="44" spans="1:29" ht="15" customHeight="1" x14ac:dyDescent="0.2">
      <c r="A44" t="str">
        <f t="shared" si="1"/>
        <v/>
      </c>
      <c r="N44" s="23" t="str">
        <f t="shared" si="2"/>
        <v/>
      </c>
      <c r="O44" s="24" t="str">
        <f t="shared" si="3"/>
        <v/>
      </c>
      <c r="P44" s="25" t="str">
        <f t="shared" si="4"/>
        <v/>
      </c>
      <c r="Q44" t="str">
        <f t="shared" si="5"/>
        <v/>
      </c>
      <c r="AC44" s="23" t="str">
        <f t="shared" si="0"/>
        <v/>
      </c>
    </row>
    <row r="45" spans="1:29" ht="15" customHeight="1" x14ac:dyDescent="0.2">
      <c r="A45" t="str">
        <f t="shared" si="1"/>
        <v/>
      </c>
      <c r="N45" s="23" t="str">
        <f t="shared" si="2"/>
        <v/>
      </c>
      <c r="O45" s="24" t="str">
        <f t="shared" si="3"/>
        <v/>
      </c>
      <c r="P45" s="25" t="str">
        <f t="shared" si="4"/>
        <v/>
      </c>
      <c r="Q45" t="str">
        <f t="shared" si="5"/>
        <v/>
      </c>
      <c r="AC45" s="23" t="str">
        <f t="shared" si="0"/>
        <v/>
      </c>
    </row>
    <row r="46" spans="1:29" ht="15" customHeight="1" x14ac:dyDescent="0.2">
      <c r="A46" t="str">
        <f t="shared" si="1"/>
        <v/>
      </c>
      <c r="N46" s="23" t="str">
        <f t="shared" si="2"/>
        <v/>
      </c>
      <c r="O46" s="24" t="str">
        <f t="shared" si="3"/>
        <v/>
      </c>
      <c r="P46" s="25" t="str">
        <f t="shared" si="4"/>
        <v/>
      </c>
      <c r="Q46" t="str">
        <f t="shared" si="5"/>
        <v/>
      </c>
      <c r="AC46" s="23" t="str">
        <f t="shared" si="0"/>
        <v/>
      </c>
    </row>
    <row r="47" spans="1:29" ht="15" customHeight="1" x14ac:dyDescent="0.2">
      <c r="A47" t="str">
        <f t="shared" si="1"/>
        <v/>
      </c>
      <c r="N47" s="23" t="str">
        <f t="shared" si="2"/>
        <v/>
      </c>
      <c r="O47" s="24" t="str">
        <f t="shared" si="3"/>
        <v/>
      </c>
      <c r="P47" s="25" t="str">
        <f t="shared" si="4"/>
        <v/>
      </c>
      <c r="Q47" t="str">
        <f t="shared" si="5"/>
        <v/>
      </c>
      <c r="AC47" s="23" t="str">
        <f t="shared" si="0"/>
        <v/>
      </c>
    </row>
    <row r="48" spans="1:29" ht="15" customHeight="1" x14ac:dyDescent="0.2">
      <c r="A48" t="str">
        <f t="shared" si="1"/>
        <v/>
      </c>
      <c r="N48" s="23" t="str">
        <f t="shared" si="2"/>
        <v/>
      </c>
      <c r="O48" s="24" t="str">
        <f t="shared" si="3"/>
        <v/>
      </c>
      <c r="P48" s="25" t="str">
        <f t="shared" si="4"/>
        <v/>
      </c>
      <c r="Q48" t="str">
        <f t="shared" si="5"/>
        <v/>
      </c>
      <c r="AC48" s="23" t="str">
        <f t="shared" si="0"/>
        <v/>
      </c>
    </row>
    <row r="49" spans="1:29" ht="15" customHeight="1" x14ac:dyDescent="0.2">
      <c r="A49" t="str">
        <f t="shared" si="1"/>
        <v/>
      </c>
      <c r="N49" s="23" t="str">
        <f t="shared" si="2"/>
        <v/>
      </c>
      <c r="O49" s="24" t="str">
        <f t="shared" si="3"/>
        <v/>
      </c>
      <c r="P49" s="25" t="str">
        <f t="shared" si="4"/>
        <v/>
      </c>
      <c r="Q49" t="str">
        <f t="shared" si="5"/>
        <v/>
      </c>
      <c r="AC49" s="23" t="str">
        <f t="shared" si="0"/>
        <v/>
      </c>
    </row>
    <row r="50" spans="1:29" ht="15" customHeight="1" x14ac:dyDescent="0.2">
      <c r="A50" t="str">
        <f t="shared" si="1"/>
        <v/>
      </c>
      <c r="N50" s="23" t="str">
        <f t="shared" si="2"/>
        <v/>
      </c>
      <c r="O50" s="24" t="str">
        <f t="shared" si="3"/>
        <v/>
      </c>
      <c r="P50" s="25" t="str">
        <f t="shared" si="4"/>
        <v/>
      </c>
      <c r="Q50" t="str">
        <f t="shared" si="5"/>
        <v/>
      </c>
      <c r="AC50" s="23" t="str">
        <f t="shared" si="0"/>
        <v/>
      </c>
    </row>
    <row r="51" spans="1:29" ht="15" customHeight="1" x14ac:dyDescent="0.2">
      <c r="A51" t="str">
        <f t="shared" si="1"/>
        <v/>
      </c>
      <c r="N51" s="23" t="str">
        <f t="shared" si="2"/>
        <v/>
      </c>
      <c r="O51" s="24" t="str">
        <f t="shared" si="3"/>
        <v/>
      </c>
      <c r="P51" s="25" t="str">
        <f t="shared" si="4"/>
        <v/>
      </c>
      <c r="Q51" t="str">
        <f t="shared" si="5"/>
        <v/>
      </c>
      <c r="AC51" s="23" t="str">
        <f t="shared" si="0"/>
        <v/>
      </c>
    </row>
    <row r="52" spans="1:29" ht="15" customHeight="1" x14ac:dyDescent="0.2">
      <c r="A52" t="str">
        <f t="shared" si="1"/>
        <v/>
      </c>
      <c r="N52" s="23" t="str">
        <f t="shared" si="2"/>
        <v/>
      </c>
      <c r="O52" s="24" t="str">
        <f t="shared" si="3"/>
        <v/>
      </c>
      <c r="P52" s="25" t="str">
        <f t="shared" si="4"/>
        <v/>
      </c>
      <c r="Q52" t="str">
        <f t="shared" si="5"/>
        <v/>
      </c>
      <c r="AC52" s="23" t="str">
        <f t="shared" si="0"/>
        <v/>
      </c>
    </row>
    <row r="53" spans="1:29" ht="15" customHeight="1" x14ac:dyDescent="0.2">
      <c r="A53" t="str">
        <f t="shared" si="1"/>
        <v/>
      </c>
      <c r="N53" s="23" t="str">
        <f t="shared" si="2"/>
        <v/>
      </c>
      <c r="O53" s="24" t="str">
        <f t="shared" si="3"/>
        <v/>
      </c>
      <c r="P53" s="25" t="str">
        <f t="shared" si="4"/>
        <v/>
      </c>
      <c r="Q53" t="str">
        <f t="shared" si="5"/>
        <v/>
      </c>
      <c r="AC53" s="23" t="str">
        <f t="shared" si="0"/>
        <v/>
      </c>
    </row>
    <row r="54" spans="1:29" ht="15" customHeight="1" x14ac:dyDescent="0.2">
      <c r="A54" t="str">
        <f t="shared" si="1"/>
        <v/>
      </c>
      <c r="N54" s="23" t="str">
        <f t="shared" si="2"/>
        <v/>
      </c>
      <c r="O54" s="24" t="str">
        <f t="shared" si="3"/>
        <v/>
      </c>
      <c r="P54" s="25" t="str">
        <f t="shared" si="4"/>
        <v/>
      </c>
      <c r="Q54" t="str">
        <f t="shared" si="5"/>
        <v/>
      </c>
      <c r="AC54" s="23" t="str">
        <f t="shared" si="0"/>
        <v/>
      </c>
    </row>
    <row r="55" spans="1:29" ht="15" customHeight="1" x14ac:dyDescent="0.2">
      <c r="A55" t="str">
        <f t="shared" si="1"/>
        <v/>
      </c>
      <c r="N55" s="23" t="str">
        <f t="shared" si="2"/>
        <v/>
      </c>
      <c r="O55" s="24" t="str">
        <f t="shared" si="3"/>
        <v/>
      </c>
      <c r="P55" s="25" t="str">
        <f t="shared" si="4"/>
        <v/>
      </c>
      <c r="Q55" t="str">
        <f t="shared" si="5"/>
        <v/>
      </c>
      <c r="AC55" s="23" t="str">
        <f t="shared" si="0"/>
        <v/>
      </c>
    </row>
    <row r="56" spans="1:29" ht="15" customHeight="1" x14ac:dyDescent="0.2">
      <c r="A56" t="str">
        <f t="shared" si="1"/>
        <v/>
      </c>
      <c r="N56" s="23" t="str">
        <f t="shared" si="2"/>
        <v/>
      </c>
      <c r="O56" s="24" t="str">
        <f t="shared" si="3"/>
        <v/>
      </c>
      <c r="P56" s="25" t="str">
        <f t="shared" si="4"/>
        <v/>
      </c>
      <c r="Q56" t="str">
        <f t="shared" si="5"/>
        <v/>
      </c>
      <c r="AC56" s="23" t="str">
        <f t="shared" si="0"/>
        <v/>
      </c>
    </row>
    <row r="57" spans="1:29" ht="15" customHeight="1" x14ac:dyDescent="0.2">
      <c r="A57" t="str">
        <f t="shared" si="1"/>
        <v/>
      </c>
      <c r="N57" s="23" t="str">
        <f t="shared" si="2"/>
        <v/>
      </c>
      <c r="O57" s="24" t="str">
        <f t="shared" si="3"/>
        <v/>
      </c>
      <c r="P57" s="25" t="str">
        <f t="shared" si="4"/>
        <v/>
      </c>
      <c r="Q57" t="str">
        <f t="shared" si="5"/>
        <v/>
      </c>
      <c r="AC57" s="23" t="str">
        <f t="shared" si="0"/>
        <v/>
      </c>
    </row>
    <row r="58" spans="1:29" ht="15" customHeight="1" x14ac:dyDescent="0.2">
      <c r="A58" t="str">
        <f t="shared" si="1"/>
        <v/>
      </c>
      <c r="N58" s="23" t="str">
        <f t="shared" si="2"/>
        <v/>
      </c>
      <c r="O58" s="24" t="str">
        <f t="shared" si="3"/>
        <v/>
      </c>
      <c r="P58" s="25" t="str">
        <f t="shared" si="4"/>
        <v/>
      </c>
      <c r="Q58" t="str">
        <f t="shared" si="5"/>
        <v/>
      </c>
      <c r="AC58" s="23" t="str">
        <f t="shared" si="0"/>
        <v/>
      </c>
    </row>
    <row r="59" spans="1:29" ht="15" customHeight="1" x14ac:dyDescent="0.2">
      <c r="A59" t="str">
        <f t="shared" si="1"/>
        <v/>
      </c>
      <c r="N59" s="23" t="str">
        <f t="shared" si="2"/>
        <v/>
      </c>
      <c r="O59" s="24" t="str">
        <f t="shared" si="3"/>
        <v/>
      </c>
      <c r="P59" s="25" t="str">
        <f t="shared" si="4"/>
        <v/>
      </c>
      <c r="Q59" t="str">
        <f t="shared" si="5"/>
        <v/>
      </c>
      <c r="AC59" s="23" t="str">
        <f t="shared" si="0"/>
        <v/>
      </c>
    </row>
    <row r="60" spans="1:29" ht="15" customHeight="1" x14ac:dyDescent="0.2">
      <c r="A60" t="str">
        <f t="shared" si="1"/>
        <v/>
      </c>
      <c r="N60" s="23" t="str">
        <f t="shared" si="2"/>
        <v/>
      </c>
      <c r="O60" s="24" t="str">
        <f t="shared" si="3"/>
        <v/>
      </c>
      <c r="P60" s="25" t="str">
        <f t="shared" si="4"/>
        <v/>
      </c>
      <c r="Q60" t="str">
        <f t="shared" si="5"/>
        <v/>
      </c>
      <c r="AC60" s="23" t="str">
        <f t="shared" si="0"/>
        <v/>
      </c>
    </row>
    <row r="61" spans="1:29" ht="15" customHeight="1" x14ac:dyDescent="0.2">
      <c r="A61" t="str">
        <f t="shared" si="1"/>
        <v/>
      </c>
      <c r="N61" s="23" t="str">
        <f t="shared" si="2"/>
        <v/>
      </c>
      <c r="O61" s="24" t="str">
        <f t="shared" si="3"/>
        <v/>
      </c>
      <c r="P61" s="25" t="str">
        <f t="shared" si="4"/>
        <v/>
      </c>
      <c r="Q61" t="str">
        <f t="shared" si="5"/>
        <v/>
      </c>
      <c r="AC61" s="23" t="str">
        <f t="shared" si="0"/>
        <v/>
      </c>
    </row>
    <row r="62" spans="1:29" ht="15" customHeight="1" x14ac:dyDescent="0.2">
      <c r="A62" t="str">
        <f t="shared" si="1"/>
        <v/>
      </c>
      <c r="N62" s="23" t="str">
        <f t="shared" si="2"/>
        <v/>
      </c>
      <c r="O62" s="24" t="str">
        <f t="shared" si="3"/>
        <v/>
      </c>
      <c r="P62" s="25" t="str">
        <f t="shared" si="4"/>
        <v/>
      </c>
      <c r="Q62" t="str">
        <f t="shared" si="5"/>
        <v/>
      </c>
      <c r="AC62" s="23" t="str">
        <f t="shared" si="0"/>
        <v/>
      </c>
    </row>
    <row r="63" spans="1:29" ht="15" customHeight="1" x14ac:dyDescent="0.2">
      <c r="A63" t="str">
        <f t="shared" si="1"/>
        <v/>
      </c>
      <c r="N63" s="23" t="str">
        <f t="shared" si="2"/>
        <v/>
      </c>
      <c r="O63" s="24" t="str">
        <f t="shared" si="3"/>
        <v/>
      </c>
      <c r="P63" s="25" t="str">
        <f t="shared" si="4"/>
        <v/>
      </c>
      <c r="Q63" t="str">
        <f t="shared" si="5"/>
        <v/>
      </c>
      <c r="AC63" s="23" t="str">
        <f t="shared" si="0"/>
        <v/>
      </c>
    </row>
    <row r="64" spans="1:29" ht="15" customHeight="1" x14ac:dyDescent="0.2">
      <c r="A64" t="str">
        <f t="shared" si="1"/>
        <v/>
      </c>
      <c r="N64" s="23" t="str">
        <f t="shared" si="2"/>
        <v/>
      </c>
      <c r="O64" s="24" t="str">
        <f t="shared" si="3"/>
        <v/>
      </c>
      <c r="P64" s="25" t="str">
        <f t="shared" si="4"/>
        <v/>
      </c>
      <c r="Q64" t="str">
        <f t="shared" si="5"/>
        <v/>
      </c>
      <c r="AC64" s="23" t="str">
        <f t="shared" si="0"/>
        <v/>
      </c>
    </row>
    <row r="65" spans="1:29" ht="15" customHeight="1" x14ac:dyDescent="0.2">
      <c r="A65" t="str">
        <f t="shared" si="1"/>
        <v/>
      </c>
      <c r="N65" s="23" t="str">
        <f t="shared" si="2"/>
        <v/>
      </c>
      <c r="O65" s="24" t="str">
        <f t="shared" si="3"/>
        <v/>
      </c>
      <c r="P65" s="25" t="str">
        <f t="shared" si="4"/>
        <v/>
      </c>
      <c r="Q65" t="str">
        <f t="shared" si="5"/>
        <v/>
      </c>
      <c r="AC65" s="23" t="str">
        <f t="shared" si="0"/>
        <v/>
      </c>
    </row>
    <row r="66" spans="1:29" ht="15" customHeight="1" x14ac:dyDescent="0.2">
      <c r="A66" t="str">
        <f t="shared" si="1"/>
        <v/>
      </c>
      <c r="N66" s="23" t="str">
        <f t="shared" si="2"/>
        <v/>
      </c>
      <c r="O66" s="24" t="str">
        <f t="shared" si="3"/>
        <v/>
      </c>
      <c r="P66" s="25" t="str">
        <f t="shared" si="4"/>
        <v/>
      </c>
      <c r="Q66" t="str">
        <f t="shared" si="5"/>
        <v/>
      </c>
      <c r="AC66" s="23" t="str">
        <f t="shared" ref="AC66:AC129" si="6">IF(N66="","",N66-IF(Z66="",0,Z66))</f>
        <v/>
      </c>
    </row>
    <row r="67" spans="1:29" ht="15" customHeight="1" x14ac:dyDescent="0.2">
      <c r="A67" t="str">
        <f t="shared" si="1"/>
        <v/>
      </c>
      <c r="N67" s="23" t="str">
        <f t="shared" si="2"/>
        <v/>
      </c>
      <c r="O67" s="24" t="str">
        <f t="shared" si="3"/>
        <v/>
      </c>
      <c r="P67" s="25" t="str">
        <f t="shared" si="4"/>
        <v/>
      </c>
      <c r="Q67" t="str">
        <f t="shared" si="5"/>
        <v/>
      </c>
      <c r="AC67" s="23" t="str">
        <f t="shared" si="6"/>
        <v/>
      </c>
    </row>
    <row r="68" spans="1:29" ht="15" customHeight="1" x14ac:dyDescent="0.2">
      <c r="A68" t="str">
        <f t="shared" si="1"/>
        <v/>
      </c>
      <c r="N68" s="23" t="str">
        <f t="shared" si="2"/>
        <v/>
      </c>
      <c r="O68" s="24" t="str">
        <f t="shared" si="3"/>
        <v/>
      </c>
      <c r="P68" s="25" t="str">
        <f t="shared" si="4"/>
        <v/>
      </c>
      <c r="Q68" t="str">
        <f t="shared" si="5"/>
        <v/>
      </c>
      <c r="AC68" s="23" t="str">
        <f t="shared" si="6"/>
        <v/>
      </c>
    </row>
    <row r="69" spans="1:29" ht="15" customHeight="1" x14ac:dyDescent="0.2">
      <c r="A69" t="str">
        <f t="shared" si="1"/>
        <v/>
      </c>
      <c r="N69" s="23" t="str">
        <f t="shared" si="2"/>
        <v/>
      </c>
      <c r="O69" s="24" t="str">
        <f t="shared" si="3"/>
        <v/>
      </c>
      <c r="P69" s="25" t="str">
        <f t="shared" si="4"/>
        <v/>
      </c>
      <c r="Q69" t="str">
        <f t="shared" si="5"/>
        <v/>
      </c>
      <c r="AC69" s="23" t="str">
        <f t="shared" si="6"/>
        <v/>
      </c>
    </row>
    <row r="70" spans="1:29" ht="15" customHeight="1" x14ac:dyDescent="0.2">
      <c r="A70" t="str">
        <f t="shared" si="1"/>
        <v/>
      </c>
      <c r="N70" s="23" t="str">
        <f t="shared" si="2"/>
        <v/>
      </c>
      <c r="O70" s="24" t="str">
        <f t="shared" si="3"/>
        <v/>
      </c>
      <c r="P70" s="25" t="str">
        <f t="shared" si="4"/>
        <v/>
      </c>
      <c r="Q70" t="str">
        <f t="shared" si="5"/>
        <v/>
      </c>
      <c r="AC70" s="23" t="str">
        <f t="shared" si="6"/>
        <v/>
      </c>
    </row>
    <row r="71" spans="1:29" ht="15" customHeight="1" x14ac:dyDescent="0.2">
      <c r="A71" t="str">
        <f t="shared" si="1"/>
        <v/>
      </c>
      <c r="N71" s="23" t="str">
        <f t="shared" si="2"/>
        <v/>
      </c>
      <c r="O71" s="24" t="str">
        <f t="shared" si="3"/>
        <v/>
      </c>
      <c r="P71" s="25" t="str">
        <f t="shared" si="4"/>
        <v/>
      </c>
      <c r="Q71" t="str">
        <f t="shared" si="5"/>
        <v/>
      </c>
      <c r="AC71" s="23" t="str">
        <f t="shared" si="6"/>
        <v/>
      </c>
    </row>
    <row r="72" spans="1:29" ht="15" customHeight="1" x14ac:dyDescent="0.2">
      <c r="A72" t="str">
        <f t="shared" si="1"/>
        <v/>
      </c>
      <c r="N72" s="23" t="str">
        <f t="shared" si="2"/>
        <v/>
      </c>
      <c r="O72" s="24" t="str">
        <f t="shared" si="3"/>
        <v/>
      </c>
      <c r="P72" s="25" t="str">
        <f t="shared" si="4"/>
        <v/>
      </c>
      <c r="Q72" t="str">
        <f t="shared" si="5"/>
        <v/>
      </c>
      <c r="AC72" s="23" t="str">
        <f t="shared" si="6"/>
        <v/>
      </c>
    </row>
    <row r="73" spans="1:29" ht="15" customHeight="1" x14ac:dyDescent="0.2">
      <c r="A73" t="str">
        <f t="shared" si="1"/>
        <v/>
      </c>
      <c r="N73" s="23" t="str">
        <f t="shared" si="2"/>
        <v/>
      </c>
      <c r="O73" s="24" t="str">
        <f t="shared" si="3"/>
        <v/>
      </c>
      <c r="P73" s="25" t="str">
        <f t="shared" si="4"/>
        <v/>
      </c>
      <c r="Q73" t="str">
        <f t="shared" si="5"/>
        <v/>
      </c>
      <c r="AC73" s="23" t="str">
        <f t="shared" si="6"/>
        <v/>
      </c>
    </row>
    <row r="74" spans="1:29" ht="15" customHeight="1" x14ac:dyDescent="0.2">
      <c r="A74" t="str">
        <f t="shared" si="1"/>
        <v/>
      </c>
      <c r="N74" s="23" t="str">
        <f t="shared" si="2"/>
        <v/>
      </c>
      <c r="O74" s="24" t="str">
        <f t="shared" si="3"/>
        <v/>
      </c>
      <c r="P74" s="25" t="str">
        <f t="shared" si="4"/>
        <v/>
      </c>
      <c r="Q74" t="str">
        <f t="shared" si="5"/>
        <v/>
      </c>
      <c r="AC74" s="23" t="str">
        <f t="shared" si="6"/>
        <v/>
      </c>
    </row>
    <row r="75" spans="1:29" ht="15" customHeight="1" x14ac:dyDescent="0.2">
      <c r="A75" t="str">
        <f t="shared" si="1"/>
        <v/>
      </c>
      <c r="N75" s="23" t="str">
        <f t="shared" si="2"/>
        <v/>
      </c>
      <c r="O75" s="24" t="str">
        <f t="shared" si="3"/>
        <v/>
      </c>
      <c r="P75" s="25" t="str">
        <f t="shared" si="4"/>
        <v/>
      </c>
      <c r="Q75" t="str">
        <f t="shared" si="5"/>
        <v/>
      </c>
      <c r="AC75" s="23" t="str">
        <f t="shared" si="6"/>
        <v/>
      </c>
    </row>
    <row r="76" spans="1:29" ht="15" customHeight="1" x14ac:dyDescent="0.2">
      <c r="A76" t="str">
        <f t="shared" si="1"/>
        <v/>
      </c>
      <c r="N76" s="23" t="str">
        <f t="shared" si="2"/>
        <v/>
      </c>
      <c r="O76" s="24" t="str">
        <f t="shared" si="3"/>
        <v/>
      </c>
      <c r="P76" s="25" t="str">
        <f t="shared" si="4"/>
        <v/>
      </c>
      <c r="Q76" t="str">
        <f t="shared" si="5"/>
        <v/>
      </c>
      <c r="AC76" s="23" t="str">
        <f t="shared" si="6"/>
        <v/>
      </c>
    </row>
    <row r="77" spans="1:29" ht="15" customHeight="1" x14ac:dyDescent="0.2">
      <c r="A77" t="str">
        <f t="shared" si="1"/>
        <v/>
      </c>
      <c r="N77" s="23" t="str">
        <f t="shared" si="2"/>
        <v/>
      </c>
      <c r="O77" s="24" t="str">
        <f t="shared" si="3"/>
        <v/>
      </c>
      <c r="P77" s="25" t="str">
        <f t="shared" si="4"/>
        <v/>
      </c>
      <c r="Q77" t="str">
        <f t="shared" si="5"/>
        <v/>
      </c>
      <c r="AC77" s="23" t="str">
        <f t="shared" si="6"/>
        <v/>
      </c>
    </row>
    <row r="78" spans="1:29" ht="15" customHeight="1" x14ac:dyDescent="0.2">
      <c r="A78" t="str">
        <f t="shared" ref="A78:A141" si="7">IF(B78="","",ROW()-1)</f>
        <v/>
      </c>
      <c r="N78" s="23" t="str">
        <f t="shared" ref="N78:N141" si="8">IF(OR(K78="",G78="",J78=""),"",IF(E78="LONG",(K78-G78)*J78,(G78-K78)*J78))</f>
        <v/>
      </c>
      <c r="O78" s="24" t="str">
        <f t="shared" ref="O78:O141" si="9">IF(OR(K78="",G78="",G78=0),"",IF(E78="LONG",(K78-G78)/G78,(G78-K78)/G78))</f>
        <v/>
      </c>
      <c r="P78" s="25" t="str">
        <f t="shared" ref="P78:P141" si="10">IF(OR(N78="",H78="",G78="",ABS(G78-H78)=0),"",N78/(ABS(G78-H78)*J78))</f>
        <v/>
      </c>
      <c r="Q78" t="str">
        <f t="shared" ref="Q78:Q141" si="11">IF(N78="","",IF(N78&gt;0,"WIN",IF(N78&lt;0,"LOSS","FLAT")))</f>
        <v/>
      </c>
      <c r="AC78" s="23" t="str">
        <f t="shared" si="6"/>
        <v/>
      </c>
    </row>
    <row r="79" spans="1:29" ht="15" customHeight="1" x14ac:dyDescent="0.2">
      <c r="A79" t="str">
        <f t="shared" si="7"/>
        <v/>
      </c>
      <c r="N79" s="23" t="str">
        <f t="shared" si="8"/>
        <v/>
      </c>
      <c r="O79" s="24" t="str">
        <f t="shared" si="9"/>
        <v/>
      </c>
      <c r="P79" s="25" t="str">
        <f t="shared" si="10"/>
        <v/>
      </c>
      <c r="Q79" t="str">
        <f t="shared" si="11"/>
        <v/>
      </c>
      <c r="AC79" s="23" t="str">
        <f t="shared" si="6"/>
        <v/>
      </c>
    </row>
    <row r="80" spans="1:29" ht="15" customHeight="1" x14ac:dyDescent="0.2">
      <c r="A80" t="str">
        <f t="shared" si="7"/>
        <v/>
      </c>
      <c r="N80" s="23" t="str">
        <f t="shared" si="8"/>
        <v/>
      </c>
      <c r="O80" s="24" t="str">
        <f t="shared" si="9"/>
        <v/>
      </c>
      <c r="P80" s="25" t="str">
        <f t="shared" si="10"/>
        <v/>
      </c>
      <c r="Q80" t="str">
        <f t="shared" si="11"/>
        <v/>
      </c>
      <c r="AC80" s="23" t="str">
        <f t="shared" si="6"/>
        <v/>
      </c>
    </row>
    <row r="81" spans="1:29" ht="15" customHeight="1" x14ac:dyDescent="0.2">
      <c r="A81" t="str">
        <f t="shared" si="7"/>
        <v/>
      </c>
      <c r="N81" s="23" t="str">
        <f t="shared" si="8"/>
        <v/>
      </c>
      <c r="O81" s="24" t="str">
        <f t="shared" si="9"/>
        <v/>
      </c>
      <c r="P81" s="25" t="str">
        <f t="shared" si="10"/>
        <v/>
      </c>
      <c r="Q81" t="str">
        <f t="shared" si="11"/>
        <v/>
      </c>
      <c r="AC81" s="23" t="str">
        <f t="shared" si="6"/>
        <v/>
      </c>
    </row>
    <row r="82" spans="1:29" ht="15" customHeight="1" x14ac:dyDescent="0.2">
      <c r="A82" t="str">
        <f t="shared" si="7"/>
        <v/>
      </c>
      <c r="N82" s="23" t="str">
        <f t="shared" si="8"/>
        <v/>
      </c>
      <c r="O82" s="24" t="str">
        <f t="shared" si="9"/>
        <v/>
      </c>
      <c r="P82" s="25" t="str">
        <f t="shared" si="10"/>
        <v/>
      </c>
      <c r="Q82" t="str">
        <f t="shared" si="11"/>
        <v/>
      </c>
      <c r="AC82" s="23" t="str">
        <f t="shared" si="6"/>
        <v/>
      </c>
    </row>
    <row r="83" spans="1:29" ht="15" customHeight="1" x14ac:dyDescent="0.2">
      <c r="A83" t="str">
        <f t="shared" si="7"/>
        <v/>
      </c>
      <c r="N83" s="23" t="str">
        <f t="shared" si="8"/>
        <v/>
      </c>
      <c r="O83" s="24" t="str">
        <f t="shared" si="9"/>
        <v/>
      </c>
      <c r="P83" s="25" t="str">
        <f t="shared" si="10"/>
        <v/>
      </c>
      <c r="Q83" t="str">
        <f t="shared" si="11"/>
        <v/>
      </c>
      <c r="AC83" s="23" t="str">
        <f t="shared" si="6"/>
        <v/>
      </c>
    </row>
    <row r="84" spans="1:29" ht="15" customHeight="1" x14ac:dyDescent="0.2">
      <c r="A84" t="str">
        <f t="shared" si="7"/>
        <v/>
      </c>
      <c r="N84" s="23" t="str">
        <f t="shared" si="8"/>
        <v/>
      </c>
      <c r="O84" s="24" t="str">
        <f t="shared" si="9"/>
        <v/>
      </c>
      <c r="P84" s="25" t="str">
        <f t="shared" si="10"/>
        <v/>
      </c>
      <c r="Q84" t="str">
        <f t="shared" si="11"/>
        <v/>
      </c>
      <c r="AC84" s="23" t="str">
        <f t="shared" si="6"/>
        <v/>
      </c>
    </row>
    <row r="85" spans="1:29" ht="15" customHeight="1" x14ac:dyDescent="0.2">
      <c r="A85" t="str">
        <f t="shared" si="7"/>
        <v/>
      </c>
      <c r="N85" s="23" t="str">
        <f t="shared" si="8"/>
        <v/>
      </c>
      <c r="O85" s="24" t="str">
        <f t="shared" si="9"/>
        <v/>
      </c>
      <c r="P85" s="25" t="str">
        <f t="shared" si="10"/>
        <v/>
      </c>
      <c r="Q85" t="str">
        <f t="shared" si="11"/>
        <v/>
      </c>
      <c r="AC85" s="23" t="str">
        <f t="shared" si="6"/>
        <v/>
      </c>
    </row>
    <row r="86" spans="1:29" ht="15" customHeight="1" x14ac:dyDescent="0.2">
      <c r="A86" t="str">
        <f t="shared" si="7"/>
        <v/>
      </c>
      <c r="N86" s="23" t="str">
        <f t="shared" si="8"/>
        <v/>
      </c>
      <c r="O86" s="24" t="str">
        <f t="shared" si="9"/>
        <v/>
      </c>
      <c r="P86" s="25" t="str">
        <f t="shared" si="10"/>
        <v/>
      </c>
      <c r="Q86" t="str">
        <f t="shared" si="11"/>
        <v/>
      </c>
      <c r="AC86" s="23" t="str">
        <f t="shared" si="6"/>
        <v/>
      </c>
    </row>
    <row r="87" spans="1:29" ht="15" customHeight="1" x14ac:dyDescent="0.2">
      <c r="A87" t="str">
        <f t="shared" si="7"/>
        <v/>
      </c>
      <c r="N87" s="23" t="str">
        <f t="shared" si="8"/>
        <v/>
      </c>
      <c r="O87" s="24" t="str">
        <f t="shared" si="9"/>
        <v/>
      </c>
      <c r="P87" s="25" t="str">
        <f t="shared" si="10"/>
        <v/>
      </c>
      <c r="Q87" t="str">
        <f t="shared" si="11"/>
        <v/>
      </c>
      <c r="AC87" s="23" t="str">
        <f t="shared" si="6"/>
        <v/>
      </c>
    </row>
    <row r="88" spans="1:29" ht="15" customHeight="1" x14ac:dyDescent="0.2">
      <c r="A88" t="str">
        <f t="shared" si="7"/>
        <v/>
      </c>
      <c r="N88" s="23" t="str">
        <f t="shared" si="8"/>
        <v/>
      </c>
      <c r="O88" s="24" t="str">
        <f t="shared" si="9"/>
        <v/>
      </c>
      <c r="P88" s="25" t="str">
        <f t="shared" si="10"/>
        <v/>
      </c>
      <c r="Q88" t="str">
        <f t="shared" si="11"/>
        <v/>
      </c>
      <c r="AC88" s="23" t="str">
        <f t="shared" si="6"/>
        <v/>
      </c>
    </row>
    <row r="89" spans="1:29" ht="15" customHeight="1" x14ac:dyDescent="0.2">
      <c r="A89" t="str">
        <f t="shared" si="7"/>
        <v/>
      </c>
      <c r="N89" s="23" t="str">
        <f t="shared" si="8"/>
        <v/>
      </c>
      <c r="O89" s="24" t="str">
        <f t="shared" si="9"/>
        <v/>
      </c>
      <c r="P89" s="25" t="str">
        <f t="shared" si="10"/>
        <v/>
      </c>
      <c r="Q89" t="str">
        <f t="shared" si="11"/>
        <v/>
      </c>
      <c r="AC89" s="23" t="str">
        <f t="shared" si="6"/>
        <v/>
      </c>
    </row>
    <row r="90" spans="1:29" ht="15" customHeight="1" x14ac:dyDescent="0.2">
      <c r="A90" t="str">
        <f t="shared" si="7"/>
        <v/>
      </c>
      <c r="N90" s="23" t="str">
        <f t="shared" si="8"/>
        <v/>
      </c>
      <c r="O90" s="24" t="str">
        <f t="shared" si="9"/>
        <v/>
      </c>
      <c r="P90" s="25" t="str">
        <f t="shared" si="10"/>
        <v/>
      </c>
      <c r="Q90" t="str">
        <f t="shared" si="11"/>
        <v/>
      </c>
      <c r="AC90" s="23" t="str">
        <f t="shared" si="6"/>
        <v/>
      </c>
    </row>
    <row r="91" spans="1:29" ht="15" customHeight="1" x14ac:dyDescent="0.2">
      <c r="A91" t="str">
        <f t="shared" si="7"/>
        <v/>
      </c>
      <c r="N91" s="23" t="str">
        <f t="shared" si="8"/>
        <v/>
      </c>
      <c r="O91" s="24" t="str">
        <f t="shared" si="9"/>
        <v/>
      </c>
      <c r="P91" s="25" t="str">
        <f t="shared" si="10"/>
        <v/>
      </c>
      <c r="Q91" t="str">
        <f t="shared" si="11"/>
        <v/>
      </c>
      <c r="AC91" s="23" t="str">
        <f t="shared" si="6"/>
        <v/>
      </c>
    </row>
    <row r="92" spans="1:29" ht="15" customHeight="1" x14ac:dyDescent="0.2">
      <c r="A92" t="str">
        <f t="shared" si="7"/>
        <v/>
      </c>
      <c r="N92" s="23" t="str">
        <f t="shared" si="8"/>
        <v/>
      </c>
      <c r="O92" s="24" t="str">
        <f t="shared" si="9"/>
        <v/>
      </c>
      <c r="P92" s="25" t="str">
        <f t="shared" si="10"/>
        <v/>
      </c>
      <c r="Q92" t="str">
        <f t="shared" si="11"/>
        <v/>
      </c>
      <c r="AC92" s="23" t="str">
        <f t="shared" si="6"/>
        <v/>
      </c>
    </row>
    <row r="93" spans="1:29" ht="15" customHeight="1" x14ac:dyDescent="0.2">
      <c r="A93" t="str">
        <f t="shared" si="7"/>
        <v/>
      </c>
      <c r="N93" s="23" t="str">
        <f t="shared" si="8"/>
        <v/>
      </c>
      <c r="O93" s="24" t="str">
        <f t="shared" si="9"/>
        <v/>
      </c>
      <c r="P93" s="25" t="str">
        <f t="shared" si="10"/>
        <v/>
      </c>
      <c r="Q93" t="str">
        <f t="shared" si="11"/>
        <v/>
      </c>
      <c r="AC93" s="23" t="str">
        <f t="shared" si="6"/>
        <v/>
      </c>
    </row>
    <row r="94" spans="1:29" ht="15" customHeight="1" x14ac:dyDescent="0.2">
      <c r="A94" t="str">
        <f t="shared" si="7"/>
        <v/>
      </c>
      <c r="N94" s="23" t="str">
        <f t="shared" si="8"/>
        <v/>
      </c>
      <c r="O94" s="24" t="str">
        <f t="shared" si="9"/>
        <v/>
      </c>
      <c r="P94" s="25" t="str">
        <f t="shared" si="10"/>
        <v/>
      </c>
      <c r="Q94" t="str">
        <f t="shared" si="11"/>
        <v/>
      </c>
      <c r="AC94" s="23" t="str">
        <f t="shared" si="6"/>
        <v/>
      </c>
    </row>
    <row r="95" spans="1:29" ht="15" customHeight="1" x14ac:dyDescent="0.2">
      <c r="A95" t="str">
        <f t="shared" si="7"/>
        <v/>
      </c>
      <c r="N95" s="23" t="str">
        <f t="shared" si="8"/>
        <v/>
      </c>
      <c r="O95" s="24" t="str">
        <f t="shared" si="9"/>
        <v/>
      </c>
      <c r="P95" s="25" t="str">
        <f t="shared" si="10"/>
        <v/>
      </c>
      <c r="Q95" t="str">
        <f t="shared" si="11"/>
        <v/>
      </c>
      <c r="AC95" s="23" t="str">
        <f t="shared" si="6"/>
        <v/>
      </c>
    </row>
    <row r="96" spans="1:29" ht="15" customHeight="1" x14ac:dyDescent="0.2">
      <c r="A96" t="str">
        <f t="shared" si="7"/>
        <v/>
      </c>
      <c r="N96" s="23" t="str">
        <f t="shared" si="8"/>
        <v/>
      </c>
      <c r="O96" s="24" t="str">
        <f t="shared" si="9"/>
        <v/>
      </c>
      <c r="P96" s="25" t="str">
        <f t="shared" si="10"/>
        <v/>
      </c>
      <c r="Q96" t="str">
        <f t="shared" si="11"/>
        <v/>
      </c>
      <c r="AC96" s="23" t="str">
        <f t="shared" si="6"/>
        <v/>
      </c>
    </row>
    <row r="97" spans="1:29" ht="15" customHeight="1" x14ac:dyDescent="0.2">
      <c r="A97" t="str">
        <f t="shared" si="7"/>
        <v/>
      </c>
      <c r="N97" s="23" t="str">
        <f t="shared" si="8"/>
        <v/>
      </c>
      <c r="O97" s="24" t="str">
        <f t="shared" si="9"/>
        <v/>
      </c>
      <c r="P97" s="25" t="str">
        <f t="shared" si="10"/>
        <v/>
      </c>
      <c r="Q97" t="str">
        <f t="shared" si="11"/>
        <v/>
      </c>
      <c r="AC97" s="23" t="str">
        <f t="shared" si="6"/>
        <v/>
      </c>
    </row>
    <row r="98" spans="1:29" ht="15" customHeight="1" x14ac:dyDescent="0.2">
      <c r="A98" t="str">
        <f t="shared" si="7"/>
        <v/>
      </c>
      <c r="N98" s="23" t="str">
        <f t="shared" si="8"/>
        <v/>
      </c>
      <c r="O98" s="24" t="str">
        <f t="shared" si="9"/>
        <v/>
      </c>
      <c r="P98" s="25" t="str">
        <f t="shared" si="10"/>
        <v/>
      </c>
      <c r="Q98" t="str">
        <f t="shared" si="11"/>
        <v/>
      </c>
      <c r="AC98" s="23" t="str">
        <f t="shared" si="6"/>
        <v/>
      </c>
    </row>
    <row r="99" spans="1:29" ht="15" customHeight="1" x14ac:dyDescent="0.2">
      <c r="A99" t="str">
        <f t="shared" si="7"/>
        <v/>
      </c>
      <c r="N99" s="23" t="str">
        <f t="shared" si="8"/>
        <v/>
      </c>
      <c r="O99" s="24" t="str">
        <f t="shared" si="9"/>
        <v/>
      </c>
      <c r="P99" s="25" t="str">
        <f t="shared" si="10"/>
        <v/>
      </c>
      <c r="Q99" t="str">
        <f t="shared" si="11"/>
        <v/>
      </c>
      <c r="AC99" s="23" t="str">
        <f t="shared" si="6"/>
        <v/>
      </c>
    </row>
    <row r="100" spans="1:29" ht="15" customHeight="1" x14ac:dyDescent="0.2">
      <c r="A100" t="str">
        <f t="shared" si="7"/>
        <v/>
      </c>
      <c r="N100" s="23" t="str">
        <f t="shared" si="8"/>
        <v/>
      </c>
      <c r="O100" s="24" t="str">
        <f t="shared" si="9"/>
        <v/>
      </c>
      <c r="P100" s="25" t="str">
        <f t="shared" si="10"/>
        <v/>
      </c>
      <c r="Q100" t="str">
        <f t="shared" si="11"/>
        <v/>
      </c>
      <c r="AC100" s="23" t="str">
        <f t="shared" si="6"/>
        <v/>
      </c>
    </row>
    <row r="101" spans="1:29" ht="15" customHeight="1" x14ac:dyDescent="0.2">
      <c r="A101" t="str">
        <f t="shared" si="7"/>
        <v/>
      </c>
      <c r="N101" s="23" t="str">
        <f t="shared" si="8"/>
        <v/>
      </c>
      <c r="O101" s="24" t="str">
        <f t="shared" si="9"/>
        <v/>
      </c>
      <c r="P101" s="25" t="str">
        <f t="shared" si="10"/>
        <v/>
      </c>
      <c r="Q101" t="str">
        <f t="shared" si="11"/>
        <v/>
      </c>
      <c r="AC101" s="23" t="str">
        <f t="shared" si="6"/>
        <v/>
      </c>
    </row>
    <row r="102" spans="1:29" ht="15" customHeight="1" x14ac:dyDescent="0.2">
      <c r="A102" t="str">
        <f t="shared" si="7"/>
        <v/>
      </c>
      <c r="N102" s="23" t="str">
        <f t="shared" si="8"/>
        <v/>
      </c>
      <c r="O102" s="24" t="str">
        <f t="shared" si="9"/>
        <v/>
      </c>
      <c r="P102" s="25" t="str">
        <f t="shared" si="10"/>
        <v/>
      </c>
      <c r="Q102" t="str">
        <f t="shared" si="11"/>
        <v/>
      </c>
      <c r="AC102" s="23" t="str">
        <f t="shared" si="6"/>
        <v/>
      </c>
    </row>
    <row r="103" spans="1:29" ht="15" customHeight="1" x14ac:dyDescent="0.2">
      <c r="A103" t="str">
        <f t="shared" si="7"/>
        <v/>
      </c>
      <c r="N103" s="23" t="str">
        <f t="shared" si="8"/>
        <v/>
      </c>
      <c r="O103" s="24" t="str">
        <f t="shared" si="9"/>
        <v/>
      </c>
      <c r="P103" s="25" t="str">
        <f t="shared" si="10"/>
        <v/>
      </c>
      <c r="Q103" t="str">
        <f t="shared" si="11"/>
        <v/>
      </c>
      <c r="AC103" s="23" t="str">
        <f t="shared" si="6"/>
        <v/>
      </c>
    </row>
    <row r="104" spans="1:29" ht="15" customHeight="1" x14ac:dyDescent="0.2">
      <c r="A104" t="str">
        <f t="shared" si="7"/>
        <v/>
      </c>
      <c r="N104" s="23" t="str">
        <f t="shared" si="8"/>
        <v/>
      </c>
      <c r="O104" s="24" t="str">
        <f t="shared" si="9"/>
        <v/>
      </c>
      <c r="P104" s="25" t="str">
        <f t="shared" si="10"/>
        <v/>
      </c>
      <c r="Q104" t="str">
        <f t="shared" si="11"/>
        <v/>
      </c>
      <c r="AC104" s="23" t="str">
        <f t="shared" si="6"/>
        <v/>
      </c>
    </row>
    <row r="105" spans="1:29" ht="15" customHeight="1" x14ac:dyDescent="0.2">
      <c r="A105" t="str">
        <f t="shared" si="7"/>
        <v/>
      </c>
      <c r="N105" s="23" t="str">
        <f t="shared" si="8"/>
        <v/>
      </c>
      <c r="O105" s="24" t="str">
        <f t="shared" si="9"/>
        <v/>
      </c>
      <c r="P105" s="25" t="str">
        <f t="shared" si="10"/>
        <v/>
      </c>
      <c r="Q105" t="str">
        <f t="shared" si="11"/>
        <v/>
      </c>
      <c r="AC105" s="23" t="str">
        <f t="shared" si="6"/>
        <v/>
      </c>
    </row>
    <row r="106" spans="1:29" ht="15" customHeight="1" x14ac:dyDescent="0.2">
      <c r="A106" t="str">
        <f t="shared" si="7"/>
        <v/>
      </c>
      <c r="N106" s="23" t="str">
        <f t="shared" si="8"/>
        <v/>
      </c>
      <c r="O106" s="24" t="str">
        <f t="shared" si="9"/>
        <v/>
      </c>
      <c r="P106" s="25" t="str">
        <f t="shared" si="10"/>
        <v/>
      </c>
      <c r="Q106" t="str">
        <f t="shared" si="11"/>
        <v/>
      </c>
      <c r="AC106" s="23" t="str">
        <f t="shared" si="6"/>
        <v/>
      </c>
    </row>
    <row r="107" spans="1:29" ht="15" customHeight="1" x14ac:dyDescent="0.2">
      <c r="A107" t="str">
        <f t="shared" si="7"/>
        <v/>
      </c>
      <c r="N107" s="23" t="str">
        <f t="shared" si="8"/>
        <v/>
      </c>
      <c r="O107" s="24" t="str">
        <f t="shared" si="9"/>
        <v/>
      </c>
      <c r="P107" s="25" t="str">
        <f t="shared" si="10"/>
        <v/>
      </c>
      <c r="Q107" t="str">
        <f t="shared" si="11"/>
        <v/>
      </c>
      <c r="AC107" s="23" t="str">
        <f t="shared" si="6"/>
        <v/>
      </c>
    </row>
    <row r="108" spans="1:29" ht="15" customHeight="1" x14ac:dyDescent="0.2">
      <c r="A108" t="str">
        <f t="shared" si="7"/>
        <v/>
      </c>
      <c r="N108" s="23" t="str">
        <f t="shared" si="8"/>
        <v/>
      </c>
      <c r="O108" s="24" t="str">
        <f t="shared" si="9"/>
        <v/>
      </c>
      <c r="P108" s="25" t="str">
        <f t="shared" si="10"/>
        <v/>
      </c>
      <c r="Q108" t="str">
        <f t="shared" si="11"/>
        <v/>
      </c>
      <c r="AC108" s="23" t="str">
        <f t="shared" si="6"/>
        <v/>
      </c>
    </row>
    <row r="109" spans="1:29" ht="15" customHeight="1" x14ac:dyDescent="0.2">
      <c r="A109" t="str">
        <f t="shared" si="7"/>
        <v/>
      </c>
      <c r="N109" s="23" t="str">
        <f t="shared" si="8"/>
        <v/>
      </c>
      <c r="O109" s="24" t="str">
        <f t="shared" si="9"/>
        <v/>
      </c>
      <c r="P109" s="25" t="str">
        <f t="shared" si="10"/>
        <v/>
      </c>
      <c r="Q109" t="str">
        <f t="shared" si="11"/>
        <v/>
      </c>
      <c r="AC109" s="23" t="str">
        <f t="shared" si="6"/>
        <v/>
      </c>
    </row>
    <row r="110" spans="1:29" ht="15" customHeight="1" x14ac:dyDescent="0.2">
      <c r="A110" t="str">
        <f t="shared" si="7"/>
        <v/>
      </c>
      <c r="N110" s="23" t="str">
        <f t="shared" si="8"/>
        <v/>
      </c>
      <c r="O110" s="24" t="str">
        <f t="shared" si="9"/>
        <v/>
      </c>
      <c r="P110" s="25" t="str">
        <f t="shared" si="10"/>
        <v/>
      </c>
      <c r="Q110" t="str">
        <f t="shared" si="11"/>
        <v/>
      </c>
      <c r="AC110" s="23" t="str">
        <f t="shared" si="6"/>
        <v/>
      </c>
    </row>
    <row r="111" spans="1:29" ht="15" customHeight="1" x14ac:dyDescent="0.2">
      <c r="A111" t="str">
        <f t="shared" si="7"/>
        <v/>
      </c>
      <c r="N111" s="23" t="str">
        <f t="shared" si="8"/>
        <v/>
      </c>
      <c r="O111" s="24" t="str">
        <f t="shared" si="9"/>
        <v/>
      </c>
      <c r="P111" s="25" t="str">
        <f t="shared" si="10"/>
        <v/>
      </c>
      <c r="Q111" t="str">
        <f t="shared" si="11"/>
        <v/>
      </c>
      <c r="AC111" s="23" t="str">
        <f t="shared" si="6"/>
        <v/>
      </c>
    </row>
    <row r="112" spans="1:29" ht="15" customHeight="1" x14ac:dyDescent="0.2">
      <c r="A112" t="str">
        <f t="shared" si="7"/>
        <v/>
      </c>
      <c r="N112" s="23" t="str">
        <f t="shared" si="8"/>
        <v/>
      </c>
      <c r="O112" s="24" t="str">
        <f t="shared" si="9"/>
        <v/>
      </c>
      <c r="P112" s="25" t="str">
        <f t="shared" si="10"/>
        <v/>
      </c>
      <c r="Q112" t="str">
        <f t="shared" si="11"/>
        <v/>
      </c>
      <c r="AC112" s="23" t="str">
        <f t="shared" si="6"/>
        <v/>
      </c>
    </row>
    <row r="113" spans="1:29" ht="15" customHeight="1" x14ac:dyDescent="0.2">
      <c r="A113" t="str">
        <f t="shared" si="7"/>
        <v/>
      </c>
      <c r="N113" s="23" t="str">
        <f t="shared" si="8"/>
        <v/>
      </c>
      <c r="O113" s="24" t="str">
        <f t="shared" si="9"/>
        <v/>
      </c>
      <c r="P113" s="25" t="str">
        <f t="shared" si="10"/>
        <v/>
      </c>
      <c r="Q113" t="str">
        <f t="shared" si="11"/>
        <v/>
      </c>
      <c r="AC113" s="23" t="str">
        <f t="shared" si="6"/>
        <v/>
      </c>
    </row>
    <row r="114" spans="1:29" ht="15" customHeight="1" x14ac:dyDescent="0.2">
      <c r="A114" t="str">
        <f t="shared" si="7"/>
        <v/>
      </c>
      <c r="N114" s="23" t="str">
        <f t="shared" si="8"/>
        <v/>
      </c>
      <c r="O114" s="24" t="str">
        <f t="shared" si="9"/>
        <v/>
      </c>
      <c r="P114" s="25" t="str">
        <f t="shared" si="10"/>
        <v/>
      </c>
      <c r="Q114" t="str">
        <f t="shared" si="11"/>
        <v/>
      </c>
      <c r="AC114" s="23" t="str">
        <f t="shared" si="6"/>
        <v/>
      </c>
    </row>
    <row r="115" spans="1:29" ht="15" customHeight="1" x14ac:dyDescent="0.2">
      <c r="A115" t="str">
        <f t="shared" si="7"/>
        <v/>
      </c>
      <c r="N115" s="23" t="str">
        <f t="shared" si="8"/>
        <v/>
      </c>
      <c r="O115" s="24" t="str">
        <f t="shared" si="9"/>
        <v/>
      </c>
      <c r="P115" s="25" t="str">
        <f t="shared" si="10"/>
        <v/>
      </c>
      <c r="Q115" t="str">
        <f t="shared" si="11"/>
        <v/>
      </c>
      <c r="AC115" s="23" t="str">
        <f t="shared" si="6"/>
        <v/>
      </c>
    </row>
    <row r="116" spans="1:29" ht="15" customHeight="1" x14ac:dyDescent="0.2">
      <c r="A116" t="str">
        <f t="shared" si="7"/>
        <v/>
      </c>
      <c r="N116" s="23" t="str">
        <f t="shared" si="8"/>
        <v/>
      </c>
      <c r="O116" s="24" t="str">
        <f t="shared" si="9"/>
        <v/>
      </c>
      <c r="P116" s="25" t="str">
        <f t="shared" si="10"/>
        <v/>
      </c>
      <c r="Q116" t="str">
        <f t="shared" si="11"/>
        <v/>
      </c>
      <c r="AC116" s="23" t="str">
        <f t="shared" si="6"/>
        <v/>
      </c>
    </row>
    <row r="117" spans="1:29" ht="15" customHeight="1" x14ac:dyDescent="0.2">
      <c r="A117" t="str">
        <f t="shared" si="7"/>
        <v/>
      </c>
      <c r="N117" s="23" t="str">
        <f t="shared" si="8"/>
        <v/>
      </c>
      <c r="O117" s="24" t="str">
        <f t="shared" si="9"/>
        <v/>
      </c>
      <c r="P117" s="25" t="str">
        <f t="shared" si="10"/>
        <v/>
      </c>
      <c r="Q117" t="str">
        <f t="shared" si="11"/>
        <v/>
      </c>
      <c r="AC117" s="23" t="str">
        <f t="shared" si="6"/>
        <v/>
      </c>
    </row>
    <row r="118" spans="1:29" ht="15" customHeight="1" x14ac:dyDescent="0.2">
      <c r="A118" t="str">
        <f t="shared" si="7"/>
        <v/>
      </c>
      <c r="N118" s="23" t="str">
        <f t="shared" si="8"/>
        <v/>
      </c>
      <c r="O118" s="24" t="str">
        <f t="shared" si="9"/>
        <v/>
      </c>
      <c r="P118" s="25" t="str">
        <f t="shared" si="10"/>
        <v/>
      </c>
      <c r="Q118" t="str">
        <f t="shared" si="11"/>
        <v/>
      </c>
      <c r="AC118" s="23" t="str">
        <f t="shared" si="6"/>
        <v/>
      </c>
    </row>
    <row r="119" spans="1:29" ht="15" customHeight="1" x14ac:dyDescent="0.2">
      <c r="A119" t="str">
        <f t="shared" si="7"/>
        <v/>
      </c>
      <c r="N119" s="23" t="str">
        <f t="shared" si="8"/>
        <v/>
      </c>
      <c r="O119" s="24" t="str">
        <f t="shared" si="9"/>
        <v/>
      </c>
      <c r="P119" s="25" t="str">
        <f t="shared" si="10"/>
        <v/>
      </c>
      <c r="Q119" t="str">
        <f t="shared" si="11"/>
        <v/>
      </c>
      <c r="AC119" s="23" t="str">
        <f t="shared" si="6"/>
        <v/>
      </c>
    </row>
    <row r="120" spans="1:29" ht="15" customHeight="1" x14ac:dyDescent="0.2">
      <c r="A120" t="str">
        <f t="shared" si="7"/>
        <v/>
      </c>
      <c r="N120" s="23" t="str">
        <f t="shared" si="8"/>
        <v/>
      </c>
      <c r="O120" s="24" t="str">
        <f t="shared" si="9"/>
        <v/>
      </c>
      <c r="P120" s="25" t="str">
        <f t="shared" si="10"/>
        <v/>
      </c>
      <c r="Q120" t="str">
        <f t="shared" si="11"/>
        <v/>
      </c>
      <c r="AC120" s="23" t="str">
        <f t="shared" si="6"/>
        <v/>
      </c>
    </row>
    <row r="121" spans="1:29" ht="15" customHeight="1" x14ac:dyDescent="0.2">
      <c r="A121" t="str">
        <f t="shared" si="7"/>
        <v/>
      </c>
      <c r="N121" s="23" t="str">
        <f t="shared" si="8"/>
        <v/>
      </c>
      <c r="O121" s="24" t="str">
        <f t="shared" si="9"/>
        <v/>
      </c>
      <c r="P121" s="25" t="str">
        <f t="shared" si="10"/>
        <v/>
      </c>
      <c r="Q121" t="str">
        <f t="shared" si="11"/>
        <v/>
      </c>
      <c r="AC121" s="23" t="str">
        <f t="shared" si="6"/>
        <v/>
      </c>
    </row>
    <row r="122" spans="1:29" ht="15" customHeight="1" x14ac:dyDescent="0.2">
      <c r="A122" t="str">
        <f t="shared" si="7"/>
        <v/>
      </c>
      <c r="N122" s="23" t="str">
        <f t="shared" si="8"/>
        <v/>
      </c>
      <c r="O122" s="24" t="str">
        <f t="shared" si="9"/>
        <v/>
      </c>
      <c r="P122" s="25" t="str">
        <f t="shared" si="10"/>
        <v/>
      </c>
      <c r="Q122" t="str">
        <f t="shared" si="11"/>
        <v/>
      </c>
      <c r="AC122" s="23" t="str">
        <f t="shared" si="6"/>
        <v/>
      </c>
    </row>
    <row r="123" spans="1:29" ht="15" customHeight="1" x14ac:dyDescent="0.2">
      <c r="A123" t="str">
        <f t="shared" si="7"/>
        <v/>
      </c>
      <c r="N123" s="23" t="str">
        <f t="shared" si="8"/>
        <v/>
      </c>
      <c r="O123" s="24" t="str">
        <f t="shared" si="9"/>
        <v/>
      </c>
      <c r="P123" s="25" t="str">
        <f t="shared" si="10"/>
        <v/>
      </c>
      <c r="Q123" t="str">
        <f t="shared" si="11"/>
        <v/>
      </c>
      <c r="AC123" s="23" t="str">
        <f t="shared" si="6"/>
        <v/>
      </c>
    </row>
    <row r="124" spans="1:29" ht="15" customHeight="1" x14ac:dyDescent="0.2">
      <c r="A124" t="str">
        <f t="shared" si="7"/>
        <v/>
      </c>
      <c r="N124" s="23" t="str">
        <f t="shared" si="8"/>
        <v/>
      </c>
      <c r="O124" s="24" t="str">
        <f t="shared" si="9"/>
        <v/>
      </c>
      <c r="P124" s="25" t="str">
        <f t="shared" si="10"/>
        <v/>
      </c>
      <c r="Q124" t="str">
        <f t="shared" si="11"/>
        <v/>
      </c>
      <c r="AC124" s="23" t="str">
        <f t="shared" si="6"/>
        <v/>
      </c>
    </row>
    <row r="125" spans="1:29" ht="15" customHeight="1" x14ac:dyDescent="0.2">
      <c r="A125" t="str">
        <f t="shared" si="7"/>
        <v/>
      </c>
      <c r="N125" s="23" t="str">
        <f t="shared" si="8"/>
        <v/>
      </c>
      <c r="O125" s="24" t="str">
        <f t="shared" si="9"/>
        <v/>
      </c>
      <c r="P125" s="25" t="str">
        <f t="shared" si="10"/>
        <v/>
      </c>
      <c r="Q125" t="str">
        <f t="shared" si="11"/>
        <v/>
      </c>
      <c r="AC125" s="23" t="str">
        <f t="shared" si="6"/>
        <v/>
      </c>
    </row>
    <row r="126" spans="1:29" ht="15" customHeight="1" x14ac:dyDescent="0.2">
      <c r="A126" t="str">
        <f t="shared" si="7"/>
        <v/>
      </c>
      <c r="N126" s="23" t="str">
        <f t="shared" si="8"/>
        <v/>
      </c>
      <c r="O126" s="24" t="str">
        <f t="shared" si="9"/>
        <v/>
      </c>
      <c r="P126" s="25" t="str">
        <f t="shared" si="10"/>
        <v/>
      </c>
      <c r="Q126" t="str">
        <f t="shared" si="11"/>
        <v/>
      </c>
      <c r="AC126" s="23" t="str">
        <f t="shared" si="6"/>
        <v/>
      </c>
    </row>
    <row r="127" spans="1:29" ht="15" customHeight="1" x14ac:dyDescent="0.2">
      <c r="A127" t="str">
        <f t="shared" si="7"/>
        <v/>
      </c>
      <c r="N127" s="23" t="str">
        <f t="shared" si="8"/>
        <v/>
      </c>
      <c r="O127" s="24" t="str">
        <f t="shared" si="9"/>
        <v/>
      </c>
      <c r="P127" s="25" t="str">
        <f t="shared" si="10"/>
        <v/>
      </c>
      <c r="Q127" t="str">
        <f t="shared" si="11"/>
        <v/>
      </c>
      <c r="AC127" s="23" t="str">
        <f t="shared" si="6"/>
        <v/>
      </c>
    </row>
    <row r="128" spans="1:29" ht="15" customHeight="1" x14ac:dyDescent="0.2">
      <c r="A128" t="str">
        <f t="shared" si="7"/>
        <v/>
      </c>
      <c r="N128" s="23" t="str">
        <f t="shared" si="8"/>
        <v/>
      </c>
      <c r="O128" s="24" t="str">
        <f t="shared" si="9"/>
        <v/>
      </c>
      <c r="P128" s="25" t="str">
        <f t="shared" si="10"/>
        <v/>
      </c>
      <c r="Q128" t="str">
        <f t="shared" si="11"/>
        <v/>
      </c>
      <c r="AC128" s="23" t="str">
        <f t="shared" si="6"/>
        <v/>
      </c>
    </row>
    <row r="129" spans="1:29" ht="15" customHeight="1" x14ac:dyDescent="0.2">
      <c r="A129" t="str">
        <f t="shared" si="7"/>
        <v/>
      </c>
      <c r="N129" s="23" t="str">
        <f t="shared" si="8"/>
        <v/>
      </c>
      <c r="O129" s="24" t="str">
        <f t="shared" si="9"/>
        <v/>
      </c>
      <c r="P129" s="25" t="str">
        <f t="shared" si="10"/>
        <v/>
      </c>
      <c r="Q129" t="str">
        <f t="shared" si="11"/>
        <v/>
      </c>
      <c r="AC129" s="23" t="str">
        <f t="shared" si="6"/>
        <v/>
      </c>
    </row>
    <row r="130" spans="1:29" ht="15" customHeight="1" x14ac:dyDescent="0.2">
      <c r="A130" t="str">
        <f t="shared" si="7"/>
        <v/>
      </c>
      <c r="N130" s="23" t="str">
        <f t="shared" si="8"/>
        <v/>
      </c>
      <c r="O130" s="24" t="str">
        <f t="shared" si="9"/>
        <v/>
      </c>
      <c r="P130" s="25" t="str">
        <f t="shared" si="10"/>
        <v/>
      </c>
      <c r="Q130" t="str">
        <f t="shared" si="11"/>
        <v/>
      </c>
      <c r="AC130" s="23" t="str">
        <f t="shared" ref="AC130:AC193" si="12">IF(N130="","",N130-IF(Z130="",0,Z130))</f>
        <v/>
      </c>
    </row>
    <row r="131" spans="1:29" ht="15" customHeight="1" x14ac:dyDescent="0.2">
      <c r="A131" t="str">
        <f t="shared" si="7"/>
        <v/>
      </c>
      <c r="N131" s="23" t="str">
        <f t="shared" si="8"/>
        <v/>
      </c>
      <c r="O131" s="24" t="str">
        <f t="shared" si="9"/>
        <v/>
      </c>
      <c r="P131" s="25" t="str">
        <f t="shared" si="10"/>
        <v/>
      </c>
      <c r="Q131" t="str">
        <f t="shared" si="11"/>
        <v/>
      </c>
      <c r="AC131" s="23" t="str">
        <f t="shared" si="12"/>
        <v/>
      </c>
    </row>
    <row r="132" spans="1:29" ht="15" customHeight="1" x14ac:dyDescent="0.2">
      <c r="A132" t="str">
        <f t="shared" si="7"/>
        <v/>
      </c>
      <c r="N132" s="23" t="str">
        <f t="shared" si="8"/>
        <v/>
      </c>
      <c r="O132" s="24" t="str">
        <f t="shared" si="9"/>
        <v/>
      </c>
      <c r="P132" s="25" t="str">
        <f t="shared" si="10"/>
        <v/>
      </c>
      <c r="Q132" t="str">
        <f t="shared" si="11"/>
        <v/>
      </c>
      <c r="AC132" s="23" t="str">
        <f t="shared" si="12"/>
        <v/>
      </c>
    </row>
    <row r="133" spans="1:29" ht="15" customHeight="1" x14ac:dyDescent="0.2">
      <c r="A133" t="str">
        <f t="shared" si="7"/>
        <v/>
      </c>
      <c r="N133" s="23" t="str">
        <f t="shared" si="8"/>
        <v/>
      </c>
      <c r="O133" s="24" t="str">
        <f t="shared" si="9"/>
        <v/>
      </c>
      <c r="P133" s="25" t="str">
        <f t="shared" si="10"/>
        <v/>
      </c>
      <c r="Q133" t="str">
        <f t="shared" si="11"/>
        <v/>
      </c>
      <c r="AC133" s="23" t="str">
        <f t="shared" si="12"/>
        <v/>
      </c>
    </row>
    <row r="134" spans="1:29" ht="15" customHeight="1" x14ac:dyDescent="0.2">
      <c r="A134" t="str">
        <f t="shared" si="7"/>
        <v/>
      </c>
      <c r="N134" s="23" t="str">
        <f t="shared" si="8"/>
        <v/>
      </c>
      <c r="O134" s="24" t="str">
        <f t="shared" si="9"/>
        <v/>
      </c>
      <c r="P134" s="25" t="str">
        <f t="shared" si="10"/>
        <v/>
      </c>
      <c r="Q134" t="str">
        <f t="shared" si="11"/>
        <v/>
      </c>
      <c r="AC134" s="23" t="str">
        <f t="shared" si="12"/>
        <v/>
      </c>
    </row>
    <row r="135" spans="1:29" ht="15" customHeight="1" x14ac:dyDescent="0.2">
      <c r="A135" t="str">
        <f t="shared" si="7"/>
        <v/>
      </c>
      <c r="N135" s="23" t="str">
        <f t="shared" si="8"/>
        <v/>
      </c>
      <c r="O135" s="24" t="str">
        <f t="shared" si="9"/>
        <v/>
      </c>
      <c r="P135" s="25" t="str">
        <f t="shared" si="10"/>
        <v/>
      </c>
      <c r="Q135" t="str">
        <f t="shared" si="11"/>
        <v/>
      </c>
      <c r="AC135" s="23" t="str">
        <f t="shared" si="12"/>
        <v/>
      </c>
    </row>
    <row r="136" spans="1:29" ht="15" customHeight="1" x14ac:dyDescent="0.2">
      <c r="A136" t="str">
        <f t="shared" si="7"/>
        <v/>
      </c>
      <c r="N136" s="23" t="str">
        <f t="shared" si="8"/>
        <v/>
      </c>
      <c r="O136" s="24" t="str">
        <f t="shared" si="9"/>
        <v/>
      </c>
      <c r="P136" s="25" t="str">
        <f t="shared" si="10"/>
        <v/>
      </c>
      <c r="Q136" t="str">
        <f t="shared" si="11"/>
        <v/>
      </c>
      <c r="AC136" s="23" t="str">
        <f t="shared" si="12"/>
        <v/>
      </c>
    </row>
    <row r="137" spans="1:29" ht="15" customHeight="1" x14ac:dyDescent="0.2">
      <c r="A137" t="str">
        <f t="shared" si="7"/>
        <v/>
      </c>
      <c r="N137" s="23" t="str">
        <f t="shared" si="8"/>
        <v/>
      </c>
      <c r="O137" s="24" t="str">
        <f t="shared" si="9"/>
        <v/>
      </c>
      <c r="P137" s="25" t="str">
        <f t="shared" si="10"/>
        <v/>
      </c>
      <c r="Q137" t="str">
        <f t="shared" si="11"/>
        <v/>
      </c>
      <c r="AC137" s="23" t="str">
        <f t="shared" si="12"/>
        <v/>
      </c>
    </row>
    <row r="138" spans="1:29" ht="15" customHeight="1" x14ac:dyDescent="0.2">
      <c r="A138" t="str">
        <f t="shared" si="7"/>
        <v/>
      </c>
      <c r="N138" s="23" t="str">
        <f t="shared" si="8"/>
        <v/>
      </c>
      <c r="O138" s="24" t="str">
        <f t="shared" si="9"/>
        <v/>
      </c>
      <c r="P138" s="25" t="str">
        <f t="shared" si="10"/>
        <v/>
      </c>
      <c r="Q138" t="str">
        <f t="shared" si="11"/>
        <v/>
      </c>
      <c r="AC138" s="23" t="str">
        <f t="shared" si="12"/>
        <v/>
      </c>
    </row>
    <row r="139" spans="1:29" ht="15" customHeight="1" x14ac:dyDescent="0.2">
      <c r="A139" t="str">
        <f t="shared" si="7"/>
        <v/>
      </c>
      <c r="N139" s="23" t="str">
        <f t="shared" si="8"/>
        <v/>
      </c>
      <c r="O139" s="24" t="str">
        <f t="shared" si="9"/>
        <v/>
      </c>
      <c r="P139" s="25" t="str">
        <f t="shared" si="10"/>
        <v/>
      </c>
      <c r="Q139" t="str">
        <f t="shared" si="11"/>
        <v/>
      </c>
      <c r="AC139" s="23" t="str">
        <f t="shared" si="12"/>
        <v/>
      </c>
    </row>
    <row r="140" spans="1:29" ht="15" customHeight="1" x14ac:dyDescent="0.2">
      <c r="A140" t="str">
        <f t="shared" si="7"/>
        <v/>
      </c>
      <c r="N140" s="23" t="str">
        <f t="shared" si="8"/>
        <v/>
      </c>
      <c r="O140" s="24" t="str">
        <f t="shared" si="9"/>
        <v/>
      </c>
      <c r="P140" s="25" t="str">
        <f t="shared" si="10"/>
        <v/>
      </c>
      <c r="Q140" t="str">
        <f t="shared" si="11"/>
        <v/>
      </c>
      <c r="AC140" s="23" t="str">
        <f t="shared" si="12"/>
        <v/>
      </c>
    </row>
    <row r="141" spans="1:29" ht="15" customHeight="1" x14ac:dyDescent="0.2">
      <c r="A141" t="str">
        <f t="shared" si="7"/>
        <v/>
      </c>
      <c r="N141" s="23" t="str">
        <f t="shared" si="8"/>
        <v/>
      </c>
      <c r="O141" s="24" t="str">
        <f t="shared" si="9"/>
        <v/>
      </c>
      <c r="P141" s="25" t="str">
        <f t="shared" si="10"/>
        <v/>
      </c>
      <c r="Q141" t="str">
        <f t="shared" si="11"/>
        <v/>
      </c>
      <c r="AC141" s="23" t="str">
        <f t="shared" si="12"/>
        <v/>
      </c>
    </row>
    <row r="142" spans="1:29" ht="15" customHeight="1" x14ac:dyDescent="0.2">
      <c r="A142" t="str">
        <f t="shared" ref="A142:A205" si="13">IF(B142="","",ROW()-1)</f>
        <v/>
      </c>
      <c r="N142" s="23" t="str">
        <f t="shared" ref="N142:N205" si="14">IF(OR(K142="",G142="",J142=""),"",IF(E142="LONG",(K142-G142)*J142,(G142-K142)*J142))</f>
        <v/>
      </c>
      <c r="O142" s="24" t="str">
        <f t="shared" ref="O142:O205" si="15">IF(OR(K142="",G142="",G142=0),"",IF(E142="LONG",(K142-G142)/G142,(G142-K142)/G142))</f>
        <v/>
      </c>
      <c r="P142" s="25" t="str">
        <f t="shared" ref="P142:P205" si="16">IF(OR(N142="",H142="",G142="",ABS(G142-H142)=0),"",N142/(ABS(G142-H142)*J142))</f>
        <v/>
      </c>
      <c r="Q142" t="str">
        <f t="shared" ref="Q142:Q205" si="17">IF(N142="","",IF(N142&gt;0,"WIN",IF(N142&lt;0,"LOSS","FLAT")))</f>
        <v/>
      </c>
      <c r="AC142" s="23" t="str">
        <f t="shared" si="12"/>
        <v/>
      </c>
    </row>
    <row r="143" spans="1:29" ht="15" customHeight="1" x14ac:dyDescent="0.2">
      <c r="A143" t="str">
        <f t="shared" si="13"/>
        <v/>
      </c>
      <c r="N143" s="23" t="str">
        <f t="shared" si="14"/>
        <v/>
      </c>
      <c r="O143" s="24" t="str">
        <f t="shared" si="15"/>
        <v/>
      </c>
      <c r="P143" s="25" t="str">
        <f t="shared" si="16"/>
        <v/>
      </c>
      <c r="Q143" t="str">
        <f t="shared" si="17"/>
        <v/>
      </c>
      <c r="AC143" s="23" t="str">
        <f t="shared" si="12"/>
        <v/>
      </c>
    </row>
    <row r="144" spans="1:29" ht="15" customHeight="1" x14ac:dyDescent="0.2">
      <c r="A144" t="str">
        <f t="shared" si="13"/>
        <v/>
      </c>
      <c r="N144" s="23" t="str">
        <f t="shared" si="14"/>
        <v/>
      </c>
      <c r="O144" s="24" t="str">
        <f t="shared" si="15"/>
        <v/>
      </c>
      <c r="P144" s="25" t="str">
        <f t="shared" si="16"/>
        <v/>
      </c>
      <c r="Q144" t="str">
        <f t="shared" si="17"/>
        <v/>
      </c>
      <c r="AC144" s="23" t="str">
        <f t="shared" si="12"/>
        <v/>
      </c>
    </row>
    <row r="145" spans="1:29" ht="15" customHeight="1" x14ac:dyDescent="0.2">
      <c r="A145" t="str">
        <f t="shared" si="13"/>
        <v/>
      </c>
      <c r="N145" s="23" t="str">
        <f t="shared" si="14"/>
        <v/>
      </c>
      <c r="O145" s="24" t="str">
        <f t="shared" si="15"/>
        <v/>
      </c>
      <c r="P145" s="25" t="str">
        <f t="shared" si="16"/>
        <v/>
      </c>
      <c r="Q145" t="str">
        <f t="shared" si="17"/>
        <v/>
      </c>
      <c r="AC145" s="23" t="str">
        <f t="shared" si="12"/>
        <v/>
      </c>
    </row>
    <row r="146" spans="1:29" ht="15" customHeight="1" x14ac:dyDescent="0.2">
      <c r="A146" t="str">
        <f t="shared" si="13"/>
        <v/>
      </c>
      <c r="N146" s="23" t="str">
        <f t="shared" si="14"/>
        <v/>
      </c>
      <c r="O146" s="24" t="str">
        <f t="shared" si="15"/>
        <v/>
      </c>
      <c r="P146" s="25" t="str">
        <f t="shared" si="16"/>
        <v/>
      </c>
      <c r="Q146" t="str">
        <f t="shared" si="17"/>
        <v/>
      </c>
      <c r="AC146" s="23" t="str">
        <f t="shared" si="12"/>
        <v/>
      </c>
    </row>
    <row r="147" spans="1:29" ht="15" customHeight="1" x14ac:dyDescent="0.2">
      <c r="A147" t="str">
        <f t="shared" si="13"/>
        <v/>
      </c>
      <c r="N147" s="23" t="str">
        <f t="shared" si="14"/>
        <v/>
      </c>
      <c r="O147" s="24" t="str">
        <f t="shared" si="15"/>
        <v/>
      </c>
      <c r="P147" s="25" t="str">
        <f t="shared" si="16"/>
        <v/>
      </c>
      <c r="Q147" t="str">
        <f t="shared" si="17"/>
        <v/>
      </c>
      <c r="AC147" s="23" t="str">
        <f t="shared" si="12"/>
        <v/>
      </c>
    </row>
    <row r="148" spans="1:29" ht="15" customHeight="1" x14ac:dyDescent="0.2">
      <c r="A148" t="str">
        <f t="shared" si="13"/>
        <v/>
      </c>
      <c r="N148" s="23" t="str">
        <f t="shared" si="14"/>
        <v/>
      </c>
      <c r="O148" s="24" t="str">
        <f t="shared" si="15"/>
        <v/>
      </c>
      <c r="P148" s="25" t="str">
        <f t="shared" si="16"/>
        <v/>
      </c>
      <c r="Q148" t="str">
        <f t="shared" si="17"/>
        <v/>
      </c>
      <c r="AC148" s="23" t="str">
        <f t="shared" si="12"/>
        <v/>
      </c>
    </row>
    <row r="149" spans="1:29" ht="15" customHeight="1" x14ac:dyDescent="0.2">
      <c r="A149" t="str">
        <f t="shared" si="13"/>
        <v/>
      </c>
      <c r="N149" s="23" t="str">
        <f t="shared" si="14"/>
        <v/>
      </c>
      <c r="O149" s="24" t="str">
        <f t="shared" si="15"/>
        <v/>
      </c>
      <c r="P149" s="25" t="str">
        <f t="shared" si="16"/>
        <v/>
      </c>
      <c r="Q149" t="str">
        <f t="shared" si="17"/>
        <v/>
      </c>
      <c r="AC149" s="23" t="str">
        <f t="shared" si="12"/>
        <v/>
      </c>
    </row>
    <row r="150" spans="1:29" ht="15" customHeight="1" x14ac:dyDescent="0.2">
      <c r="A150" t="str">
        <f t="shared" si="13"/>
        <v/>
      </c>
      <c r="N150" s="23" t="str">
        <f t="shared" si="14"/>
        <v/>
      </c>
      <c r="O150" s="24" t="str">
        <f t="shared" si="15"/>
        <v/>
      </c>
      <c r="P150" s="25" t="str">
        <f t="shared" si="16"/>
        <v/>
      </c>
      <c r="Q150" t="str">
        <f t="shared" si="17"/>
        <v/>
      </c>
      <c r="AC150" s="23" t="str">
        <f t="shared" si="12"/>
        <v/>
      </c>
    </row>
    <row r="151" spans="1:29" ht="15" customHeight="1" x14ac:dyDescent="0.2">
      <c r="A151" t="str">
        <f t="shared" si="13"/>
        <v/>
      </c>
      <c r="N151" s="23" t="str">
        <f t="shared" si="14"/>
        <v/>
      </c>
      <c r="O151" s="24" t="str">
        <f t="shared" si="15"/>
        <v/>
      </c>
      <c r="P151" s="25" t="str">
        <f t="shared" si="16"/>
        <v/>
      </c>
      <c r="Q151" t="str">
        <f t="shared" si="17"/>
        <v/>
      </c>
      <c r="AC151" s="23" t="str">
        <f t="shared" si="12"/>
        <v/>
      </c>
    </row>
    <row r="152" spans="1:29" ht="15" customHeight="1" x14ac:dyDescent="0.2">
      <c r="A152" t="str">
        <f t="shared" si="13"/>
        <v/>
      </c>
      <c r="N152" s="23" t="str">
        <f t="shared" si="14"/>
        <v/>
      </c>
      <c r="O152" s="24" t="str">
        <f t="shared" si="15"/>
        <v/>
      </c>
      <c r="P152" s="25" t="str">
        <f t="shared" si="16"/>
        <v/>
      </c>
      <c r="Q152" t="str">
        <f t="shared" si="17"/>
        <v/>
      </c>
      <c r="AC152" s="23" t="str">
        <f t="shared" si="12"/>
        <v/>
      </c>
    </row>
    <row r="153" spans="1:29" ht="15" customHeight="1" x14ac:dyDescent="0.2">
      <c r="A153" t="str">
        <f t="shared" si="13"/>
        <v/>
      </c>
      <c r="N153" s="23" t="str">
        <f t="shared" si="14"/>
        <v/>
      </c>
      <c r="O153" s="24" t="str">
        <f t="shared" si="15"/>
        <v/>
      </c>
      <c r="P153" s="25" t="str">
        <f t="shared" si="16"/>
        <v/>
      </c>
      <c r="Q153" t="str">
        <f t="shared" si="17"/>
        <v/>
      </c>
      <c r="AC153" s="23" t="str">
        <f t="shared" si="12"/>
        <v/>
      </c>
    </row>
    <row r="154" spans="1:29" ht="15" customHeight="1" x14ac:dyDescent="0.2">
      <c r="A154" t="str">
        <f t="shared" si="13"/>
        <v/>
      </c>
      <c r="N154" s="23" t="str">
        <f t="shared" si="14"/>
        <v/>
      </c>
      <c r="O154" s="24" t="str">
        <f t="shared" si="15"/>
        <v/>
      </c>
      <c r="P154" s="25" t="str">
        <f t="shared" si="16"/>
        <v/>
      </c>
      <c r="Q154" t="str">
        <f t="shared" si="17"/>
        <v/>
      </c>
      <c r="AC154" s="23" t="str">
        <f t="shared" si="12"/>
        <v/>
      </c>
    </row>
    <row r="155" spans="1:29" ht="15" customHeight="1" x14ac:dyDescent="0.2">
      <c r="A155" t="str">
        <f t="shared" si="13"/>
        <v/>
      </c>
      <c r="N155" s="23" t="str">
        <f t="shared" si="14"/>
        <v/>
      </c>
      <c r="O155" s="24" t="str">
        <f t="shared" si="15"/>
        <v/>
      </c>
      <c r="P155" s="25" t="str">
        <f t="shared" si="16"/>
        <v/>
      </c>
      <c r="Q155" t="str">
        <f t="shared" si="17"/>
        <v/>
      </c>
      <c r="AC155" s="23" t="str">
        <f t="shared" si="12"/>
        <v/>
      </c>
    </row>
    <row r="156" spans="1:29" ht="15" customHeight="1" x14ac:dyDescent="0.2">
      <c r="A156" t="str">
        <f t="shared" si="13"/>
        <v/>
      </c>
      <c r="N156" s="23" t="str">
        <f t="shared" si="14"/>
        <v/>
      </c>
      <c r="O156" s="24" t="str">
        <f t="shared" si="15"/>
        <v/>
      </c>
      <c r="P156" s="25" t="str">
        <f t="shared" si="16"/>
        <v/>
      </c>
      <c r="Q156" t="str">
        <f t="shared" si="17"/>
        <v/>
      </c>
      <c r="AC156" s="23" t="str">
        <f t="shared" si="12"/>
        <v/>
      </c>
    </row>
    <row r="157" spans="1:29" ht="15" customHeight="1" x14ac:dyDescent="0.2">
      <c r="A157" t="str">
        <f t="shared" si="13"/>
        <v/>
      </c>
      <c r="N157" s="23" t="str">
        <f t="shared" si="14"/>
        <v/>
      </c>
      <c r="O157" s="24" t="str">
        <f t="shared" si="15"/>
        <v/>
      </c>
      <c r="P157" s="25" t="str">
        <f t="shared" si="16"/>
        <v/>
      </c>
      <c r="Q157" t="str">
        <f t="shared" si="17"/>
        <v/>
      </c>
      <c r="AC157" s="23" t="str">
        <f t="shared" si="12"/>
        <v/>
      </c>
    </row>
    <row r="158" spans="1:29" ht="15" customHeight="1" x14ac:dyDescent="0.2">
      <c r="A158" t="str">
        <f t="shared" si="13"/>
        <v/>
      </c>
      <c r="N158" s="23" t="str">
        <f t="shared" si="14"/>
        <v/>
      </c>
      <c r="O158" s="24" t="str">
        <f t="shared" si="15"/>
        <v/>
      </c>
      <c r="P158" s="25" t="str">
        <f t="shared" si="16"/>
        <v/>
      </c>
      <c r="Q158" t="str">
        <f t="shared" si="17"/>
        <v/>
      </c>
      <c r="AC158" s="23" t="str">
        <f t="shared" si="12"/>
        <v/>
      </c>
    </row>
    <row r="159" spans="1:29" ht="15" customHeight="1" x14ac:dyDescent="0.2">
      <c r="A159" t="str">
        <f t="shared" si="13"/>
        <v/>
      </c>
      <c r="N159" s="23" t="str">
        <f t="shared" si="14"/>
        <v/>
      </c>
      <c r="O159" s="24" t="str">
        <f t="shared" si="15"/>
        <v/>
      </c>
      <c r="P159" s="25" t="str">
        <f t="shared" si="16"/>
        <v/>
      </c>
      <c r="Q159" t="str">
        <f t="shared" si="17"/>
        <v/>
      </c>
      <c r="AC159" s="23" t="str">
        <f t="shared" si="12"/>
        <v/>
      </c>
    </row>
    <row r="160" spans="1:29" ht="15" customHeight="1" x14ac:dyDescent="0.2">
      <c r="A160" t="str">
        <f t="shared" si="13"/>
        <v/>
      </c>
      <c r="N160" s="23" t="str">
        <f t="shared" si="14"/>
        <v/>
      </c>
      <c r="O160" s="24" t="str">
        <f t="shared" si="15"/>
        <v/>
      </c>
      <c r="P160" s="25" t="str">
        <f t="shared" si="16"/>
        <v/>
      </c>
      <c r="Q160" t="str">
        <f t="shared" si="17"/>
        <v/>
      </c>
      <c r="AC160" s="23" t="str">
        <f t="shared" si="12"/>
        <v/>
      </c>
    </row>
    <row r="161" spans="1:29" ht="15" customHeight="1" x14ac:dyDescent="0.2">
      <c r="A161" t="str">
        <f t="shared" si="13"/>
        <v/>
      </c>
      <c r="N161" s="23" t="str">
        <f t="shared" si="14"/>
        <v/>
      </c>
      <c r="O161" s="24" t="str">
        <f t="shared" si="15"/>
        <v/>
      </c>
      <c r="P161" s="25" t="str">
        <f t="shared" si="16"/>
        <v/>
      </c>
      <c r="Q161" t="str">
        <f t="shared" si="17"/>
        <v/>
      </c>
      <c r="AC161" s="23" t="str">
        <f t="shared" si="12"/>
        <v/>
      </c>
    </row>
    <row r="162" spans="1:29" ht="15" customHeight="1" x14ac:dyDescent="0.2">
      <c r="A162" t="str">
        <f t="shared" si="13"/>
        <v/>
      </c>
      <c r="N162" s="23" t="str">
        <f t="shared" si="14"/>
        <v/>
      </c>
      <c r="O162" s="24" t="str">
        <f t="shared" si="15"/>
        <v/>
      </c>
      <c r="P162" s="25" t="str">
        <f t="shared" si="16"/>
        <v/>
      </c>
      <c r="Q162" t="str">
        <f t="shared" si="17"/>
        <v/>
      </c>
      <c r="AC162" s="23" t="str">
        <f t="shared" si="12"/>
        <v/>
      </c>
    </row>
    <row r="163" spans="1:29" ht="15" customHeight="1" x14ac:dyDescent="0.2">
      <c r="A163" t="str">
        <f t="shared" si="13"/>
        <v/>
      </c>
      <c r="N163" s="23" t="str">
        <f t="shared" si="14"/>
        <v/>
      </c>
      <c r="O163" s="24" t="str">
        <f t="shared" si="15"/>
        <v/>
      </c>
      <c r="P163" s="25" t="str">
        <f t="shared" si="16"/>
        <v/>
      </c>
      <c r="Q163" t="str">
        <f t="shared" si="17"/>
        <v/>
      </c>
      <c r="AC163" s="23" t="str">
        <f t="shared" si="12"/>
        <v/>
      </c>
    </row>
    <row r="164" spans="1:29" ht="15" customHeight="1" x14ac:dyDescent="0.2">
      <c r="A164" t="str">
        <f t="shared" si="13"/>
        <v/>
      </c>
      <c r="N164" s="23" t="str">
        <f t="shared" si="14"/>
        <v/>
      </c>
      <c r="O164" s="24" t="str">
        <f t="shared" si="15"/>
        <v/>
      </c>
      <c r="P164" s="25" t="str">
        <f t="shared" si="16"/>
        <v/>
      </c>
      <c r="Q164" t="str">
        <f t="shared" si="17"/>
        <v/>
      </c>
      <c r="AC164" s="23" t="str">
        <f t="shared" si="12"/>
        <v/>
      </c>
    </row>
    <row r="165" spans="1:29" ht="15" customHeight="1" x14ac:dyDescent="0.2">
      <c r="A165" t="str">
        <f t="shared" si="13"/>
        <v/>
      </c>
      <c r="N165" s="23" t="str">
        <f t="shared" si="14"/>
        <v/>
      </c>
      <c r="O165" s="24" t="str">
        <f t="shared" si="15"/>
        <v/>
      </c>
      <c r="P165" s="25" t="str">
        <f t="shared" si="16"/>
        <v/>
      </c>
      <c r="Q165" t="str">
        <f t="shared" si="17"/>
        <v/>
      </c>
      <c r="AC165" s="23" t="str">
        <f t="shared" si="12"/>
        <v/>
      </c>
    </row>
    <row r="166" spans="1:29" ht="15" customHeight="1" x14ac:dyDescent="0.2">
      <c r="A166" t="str">
        <f t="shared" si="13"/>
        <v/>
      </c>
      <c r="N166" s="23" t="str">
        <f t="shared" si="14"/>
        <v/>
      </c>
      <c r="O166" s="24" t="str">
        <f t="shared" si="15"/>
        <v/>
      </c>
      <c r="P166" s="25" t="str">
        <f t="shared" si="16"/>
        <v/>
      </c>
      <c r="Q166" t="str">
        <f t="shared" si="17"/>
        <v/>
      </c>
      <c r="AC166" s="23" t="str">
        <f t="shared" si="12"/>
        <v/>
      </c>
    </row>
    <row r="167" spans="1:29" ht="15" customHeight="1" x14ac:dyDescent="0.2">
      <c r="A167" t="str">
        <f t="shared" si="13"/>
        <v/>
      </c>
      <c r="N167" s="23" t="str">
        <f t="shared" si="14"/>
        <v/>
      </c>
      <c r="O167" s="24" t="str">
        <f t="shared" si="15"/>
        <v/>
      </c>
      <c r="P167" s="25" t="str">
        <f t="shared" si="16"/>
        <v/>
      </c>
      <c r="Q167" t="str">
        <f t="shared" si="17"/>
        <v/>
      </c>
      <c r="AC167" s="23" t="str">
        <f t="shared" si="12"/>
        <v/>
      </c>
    </row>
    <row r="168" spans="1:29" ht="15" customHeight="1" x14ac:dyDescent="0.2">
      <c r="A168" t="str">
        <f t="shared" si="13"/>
        <v/>
      </c>
      <c r="N168" s="23" t="str">
        <f t="shared" si="14"/>
        <v/>
      </c>
      <c r="O168" s="24" t="str">
        <f t="shared" si="15"/>
        <v/>
      </c>
      <c r="P168" s="25" t="str">
        <f t="shared" si="16"/>
        <v/>
      </c>
      <c r="Q168" t="str">
        <f t="shared" si="17"/>
        <v/>
      </c>
      <c r="AC168" s="23" t="str">
        <f t="shared" si="12"/>
        <v/>
      </c>
    </row>
    <row r="169" spans="1:29" ht="15" customHeight="1" x14ac:dyDescent="0.2">
      <c r="A169" t="str">
        <f t="shared" si="13"/>
        <v/>
      </c>
      <c r="N169" s="23" t="str">
        <f t="shared" si="14"/>
        <v/>
      </c>
      <c r="O169" s="24" t="str">
        <f t="shared" si="15"/>
        <v/>
      </c>
      <c r="P169" s="25" t="str">
        <f t="shared" si="16"/>
        <v/>
      </c>
      <c r="Q169" t="str">
        <f t="shared" si="17"/>
        <v/>
      </c>
      <c r="AC169" s="23" t="str">
        <f t="shared" si="12"/>
        <v/>
      </c>
    </row>
    <row r="170" spans="1:29" ht="15" customHeight="1" x14ac:dyDescent="0.2">
      <c r="A170" t="str">
        <f t="shared" si="13"/>
        <v/>
      </c>
      <c r="N170" s="23" t="str">
        <f t="shared" si="14"/>
        <v/>
      </c>
      <c r="O170" s="24" t="str">
        <f t="shared" si="15"/>
        <v/>
      </c>
      <c r="P170" s="25" t="str">
        <f t="shared" si="16"/>
        <v/>
      </c>
      <c r="Q170" t="str">
        <f t="shared" si="17"/>
        <v/>
      </c>
      <c r="AC170" s="23" t="str">
        <f t="shared" si="12"/>
        <v/>
      </c>
    </row>
    <row r="171" spans="1:29" ht="15" customHeight="1" x14ac:dyDescent="0.2">
      <c r="A171" t="str">
        <f t="shared" si="13"/>
        <v/>
      </c>
      <c r="N171" s="23" t="str">
        <f t="shared" si="14"/>
        <v/>
      </c>
      <c r="O171" s="24" t="str">
        <f t="shared" si="15"/>
        <v/>
      </c>
      <c r="P171" s="25" t="str">
        <f t="shared" si="16"/>
        <v/>
      </c>
      <c r="Q171" t="str">
        <f t="shared" si="17"/>
        <v/>
      </c>
      <c r="AC171" s="23" t="str">
        <f t="shared" si="12"/>
        <v/>
      </c>
    </row>
    <row r="172" spans="1:29" ht="15" customHeight="1" x14ac:dyDescent="0.2">
      <c r="A172" t="str">
        <f t="shared" si="13"/>
        <v/>
      </c>
      <c r="N172" s="23" t="str">
        <f t="shared" si="14"/>
        <v/>
      </c>
      <c r="O172" s="24" t="str">
        <f t="shared" si="15"/>
        <v/>
      </c>
      <c r="P172" s="25" t="str">
        <f t="shared" si="16"/>
        <v/>
      </c>
      <c r="Q172" t="str">
        <f t="shared" si="17"/>
        <v/>
      </c>
      <c r="AC172" s="23" t="str">
        <f t="shared" si="12"/>
        <v/>
      </c>
    </row>
    <row r="173" spans="1:29" ht="15" customHeight="1" x14ac:dyDescent="0.2">
      <c r="A173" t="str">
        <f t="shared" si="13"/>
        <v/>
      </c>
      <c r="N173" s="23" t="str">
        <f t="shared" si="14"/>
        <v/>
      </c>
      <c r="O173" s="24" t="str">
        <f t="shared" si="15"/>
        <v/>
      </c>
      <c r="P173" s="25" t="str">
        <f t="shared" si="16"/>
        <v/>
      </c>
      <c r="Q173" t="str">
        <f t="shared" si="17"/>
        <v/>
      </c>
      <c r="AC173" s="23" t="str">
        <f t="shared" si="12"/>
        <v/>
      </c>
    </row>
    <row r="174" spans="1:29" ht="15" customHeight="1" x14ac:dyDescent="0.2">
      <c r="A174" t="str">
        <f t="shared" si="13"/>
        <v/>
      </c>
      <c r="N174" s="23" t="str">
        <f t="shared" si="14"/>
        <v/>
      </c>
      <c r="O174" s="24" t="str">
        <f t="shared" si="15"/>
        <v/>
      </c>
      <c r="P174" s="25" t="str">
        <f t="shared" si="16"/>
        <v/>
      </c>
      <c r="Q174" t="str">
        <f t="shared" si="17"/>
        <v/>
      </c>
      <c r="AC174" s="23" t="str">
        <f t="shared" si="12"/>
        <v/>
      </c>
    </row>
    <row r="175" spans="1:29" ht="15" customHeight="1" x14ac:dyDescent="0.2">
      <c r="A175" t="str">
        <f t="shared" si="13"/>
        <v/>
      </c>
      <c r="N175" s="23" t="str">
        <f t="shared" si="14"/>
        <v/>
      </c>
      <c r="O175" s="24" t="str">
        <f t="shared" si="15"/>
        <v/>
      </c>
      <c r="P175" s="25" t="str">
        <f t="shared" si="16"/>
        <v/>
      </c>
      <c r="Q175" t="str">
        <f t="shared" si="17"/>
        <v/>
      </c>
      <c r="AC175" s="23" t="str">
        <f t="shared" si="12"/>
        <v/>
      </c>
    </row>
    <row r="176" spans="1:29" ht="15" customHeight="1" x14ac:dyDescent="0.2">
      <c r="A176" t="str">
        <f t="shared" si="13"/>
        <v/>
      </c>
      <c r="N176" s="23" t="str">
        <f t="shared" si="14"/>
        <v/>
      </c>
      <c r="O176" s="24" t="str">
        <f t="shared" si="15"/>
        <v/>
      </c>
      <c r="P176" s="25" t="str">
        <f t="shared" si="16"/>
        <v/>
      </c>
      <c r="Q176" t="str">
        <f t="shared" si="17"/>
        <v/>
      </c>
      <c r="AC176" s="23" t="str">
        <f t="shared" si="12"/>
        <v/>
      </c>
    </row>
    <row r="177" spans="1:29" ht="15" customHeight="1" x14ac:dyDescent="0.2">
      <c r="A177" t="str">
        <f t="shared" si="13"/>
        <v/>
      </c>
      <c r="N177" s="23" t="str">
        <f t="shared" si="14"/>
        <v/>
      </c>
      <c r="O177" s="24" t="str">
        <f t="shared" si="15"/>
        <v/>
      </c>
      <c r="P177" s="25" t="str">
        <f t="shared" si="16"/>
        <v/>
      </c>
      <c r="Q177" t="str">
        <f t="shared" si="17"/>
        <v/>
      </c>
      <c r="AC177" s="23" t="str">
        <f t="shared" si="12"/>
        <v/>
      </c>
    </row>
    <row r="178" spans="1:29" ht="15" customHeight="1" x14ac:dyDescent="0.2">
      <c r="A178" t="str">
        <f t="shared" si="13"/>
        <v/>
      </c>
      <c r="N178" s="23" t="str">
        <f t="shared" si="14"/>
        <v/>
      </c>
      <c r="O178" s="24" t="str">
        <f t="shared" si="15"/>
        <v/>
      </c>
      <c r="P178" s="25" t="str">
        <f t="shared" si="16"/>
        <v/>
      </c>
      <c r="Q178" t="str">
        <f t="shared" si="17"/>
        <v/>
      </c>
      <c r="AC178" s="23" t="str">
        <f t="shared" si="12"/>
        <v/>
      </c>
    </row>
    <row r="179" spans="1:29" ht="15" customHeight="1" x14ac:dyDescent="0.2">
      <c r="A179" t="str">
        <f t="shared" si="13"/>
        <v/>
      </c>
      <c r="N179" s="23" t="str">
        <f t="shared" si="14"/>
        <v/>
      </c>
      <c r="O179" s="24" t="str">
        <f t="shared" si="15"/>
        <v/>
      </c>
      <c r="P179" s="25" t="str">
        <f t="shared" si="16"/>
        <v/>
      </c>
      <c r="Q179" t="str">
        <f t="shared" si="17"/>
        <v/>
      </c>
      <c r="AC179" s="23" t="str">
        <f t="shared" si="12"/>
        <v/>
      </c>
    </row>
    <row r="180" spans="1:29" ht="15" customHeight="1" x14ac:dyDescent="0.2">
      <c r="A180" t="str">
        <f t="shared" si="13"/>
        <v/>
      </c>
      <c r="N180" s="23" t="str">
        <f t="shared" si="14"/>
        <v/>
      </c>
      <c r="O180" s="24" t="str">
        <f t="shared" si="15"/>
        <v/>
      </c>
      <c r="P180" s="25" t="str">
        <f t="shared" si="16"/>
        <v/>
      </c>
      <c r="Q180" t="str">
        <f t="shared" si="17"/>
        <v/>
      </c>
      <c r="AC180" s="23" t="str">
        <f t="shared" si="12"/>
        <v/>
      </c>
    </row>
    <row r="181" spans="1:29" ht="15" customHeight="1" x14ac:dyDescent="0.2">
      <c r="A181" t="str">
        <f t="shared" si="13"/>
        <v/>
      </c>
      <c r="N181" s="23" t="str">
        <f t="shared" si="14"/>
        <v/>
      </c>
      <c r="O181" s="24" t="str">
        <f t="shared" si="15"/>
        <v/>
      </c>
      <c r="P181" s="25" t="str">
        <f t="shared" si="16"/>
        <v/>
      </c>
      <c r="Q181" t="str">
        <f t="shared" si="17"/>
        <v/>
      </c>
      <c r="AC181" s="23" t="str">
        <f t="shared" si="12"/>
        <v/>
      </c>
    </row>
    <row r="182" spans="1:29" ht="15" customHeight="1" x14ac:dyDescent="0.2">
      <c r="A182" t="str">
        <f t="shared" si="13"/>
        <v/>
      </c>
      <c r="N182" s="23" t="str">
        <f t="shared" si="14"/>
        <v/>
      </c>
      <c r="O182" s="24" t="str">
        <f t="shared" si="15"/>
        <v/>
      </c>
      <c r="P182" s="25" t="str">
        <f t="shared" si="16"/>
        <v/>
      </c>
      <c r="Q182" t="str">
        <f t="shared" si="17"/>
        <v/>
      </c>
      <c r="AC182" s="23" t="str">
        <f t="shared" si="12"/>
        <v/>
      </c>
    </row>
    <row r="183" spans="1:29" ht="15" customHeight="1" x14ac:dyDescent="0.2">
      <c r="A183" t="str">
        <f t="shared" si="13"/>
        <v/>
      </c>
      <c r="N183" s="23" t="str">
        <f t="shared" si="14"/>
        <v/>
      </c>
      <c r="O183" s="24" t="str">
        <f t="shared" si="15"/>
        <v/>
      </c>
      <c r="P183" s="25" t="str">
        <f t="shared" si="16"/>
        <v/>
      </c>
      <c r="Q183" t="str">
        <f t="shared" si="17"/>
        <v/>
      </c>
      <c r="AC183" s="23" t="str">
        <f t="shared" si="12"/>
        <v/>
      </c>
    </row>
    <row r="184" spans="1:29" ht="15" customHeight="1" x14ac:dyDescent="0.2">
      <c r="A184" t="str">
        <f t="shared" si="13"/>
        <v/>
      </c>
      <c r="N184" s="23" t="str">
        <f t="shared" si="14"/>
        <v/>
      </c>
      <c r="O184" s="24" t="str">
        <f t="shared" si="15"/>
        <v/>
      </c>
      <c r="P184" s="25" t="str">
        <f t="shared" si="16"/>
        <v/>
      </c>
      <c r="Q184" t="str">
        <f t="shared" si="17"/>
        <v/>
      </c>
      <c r="AC184" s="23" t="str">
        <f t="shared" si="12"/>
        <v/>
      </c>
    </row>
    <row r="185" spans="1:29" ht="15" customHeight="1" x14ac:dyDescent="0.2">
      <c r="A185" t="str">
        <f t="shared" si="13"/>
        <v/>
      </c>
      <c r="N185" s="23" t="str">
        <f t="shared" si="14"/>
        <v/>
      </c>
      <c r="O185" s="24" t="str">
        <f t="shared" si="15"/>
        <v/>
      </c>
      <c r="P185" s="25" t="str">
        <f t="shared" si="16"/>
        <v/>
      </c>
      <c r="Q185" t="str">
        <f t="shared" si="17"/>
        <v/>
      </c>
      <c r="AC185" s="23" t="str">
        <f t="shared" si="12"/>
        <v/>
      </c>
    </row>
    <row r="186" spans="1:29" ht="15" customHeight="1" x14ac:dyDescent="0.2">
      <c r="A186" t="str">
        <f t="shared" si="13"/>
        <v/>
      </c>
      <c r="N186" s="23" t="str">
        <f t="shared" si="14"/>
        <v/>
      </c>
      <c r="O186" s="24" t="str">
        <f t="shared" si="15"/>
        <v/>
      </c>
      <c r="P186" s="25" t="str">
        <f t="shared" si="16"/>
        <v/>
      </c>
      <c r="Q186" t="str">
        <f t="shared" si="17"/>
        <v/>
      </c>
      <c r="AC186" s="23" t="str">
        <f t="shared" si="12"/>
        <v/>
      </c>
    </row>
    <row r="187" spans="1:29" ht="15" customHeight="1" x14ac:dyDescent="0.2">
      <c r="A187" t="str">
        <f t="shared" si="13"/>
        <v/>
      </c>
      <c r="N187" s="23" t="str">
        <f t="shared" si="14"/>
        <v/>
      </c>
      <c r="O187" s="24" t="str">
        <f t="shared" si="15"/>
        <v/>
      </c>
      <c r="P187" s="25" t="str">
        <f t="shared" si="16"/>
        <v/>
      </c>
      <c r="Q187" t="str">
        <f t="shared" si="17"/>
        <v/>
      </c>
      <c r="AC187" s="23" t="str">
        <f t="shared" si="12"/>
        <v/>
      </c>
    </row>
    <row r="188" spans="1:29" ht="15" customHeight="1" x14ac:dyDescent="0.2">
      <c r="A188" t="str">
        <f t="shared" si="13"/>
        <v/>
      </c>
      <c r="N188" s="23" t="str">
        <f t="shared" si="14"/>
        <v/>
      </c>
      <c r="O188" s="24" t="str">
        <f t="shared" si="15"/>
        <v/>
      </c>
      <c r="P188" s="25" t="str">
        <f t="shared" si="16"/>
        <v/>
      </c>
      <c r="Q188" t="str">
        <f t="shared" si="17"/>
        <v/>
      </c>
      <c r="AC188" s="23" t="str">
        <f t="shared" si="12"/>
        <v/>
      </c>
    </row>
    <row r="189" spans="1:29" ht="15" customHeight="1" x14ac:dyDescent="0.2">
      <c r="A189" t="str">
        <f t="shared" si="13"/>
        <v/>
      </c>
      <c r="N189" s="23" t="str">
        <f t="shared" si="14"/>
        <v/>
      </c>
      <c r="O189" s="24" t="str">
        <f t="shared" si="15"/>
        <v/>
      </c>
      <c r="P189" s="25" t="str">
        <f t="shared" si="16"/>
        <v/>
      </c>
      <c r="Q189" t="str">
        <f t="shared" si="17"/>
        <v/>
      </c>
      <c r="AC189" s="23" t="str">
        <f t="shared" si="12"/>
        <v/>
      </c>
    </row>
    <row r="190" spans="1:29" ht="15" customHeight="1" x14ac:dyDescent="0.2">
      <c r="A190" t="str">
        <f t="shared" si="13"/>
        <v/>
      </c>
      <c r="N190" s="23" t="str">
        <f t="shared" si="14"/>
        <v/>
      </c>
      <c r="O190" s="24" t="str">
        <f t="shared" si="15"/>
        <v/>
      </c>
      <c r="P190" s="25" t="str">
        <f t="shared" si="16"/>
        <v/>
      </c>
      <c r="Q190" t="str">
        <f t="shared" si="17"/>
        <v/>
      </c>
      <c r="AC190" s="23" t="str">
        <f t="shared" si="12"/>
        <v/>
      </c>
    </row>
    <row r="191" spans="1:29" ht="15" customHeight="1" x14ac:dyDescent="0.2">
      <c r="A191" t="str">
        <f t="shared" si="13"/>
        <v/>
      </c>
      <c r="N191" s="23" t="str">
        <f t="shared" si="14"/>
        <v/>
      </c>
      <c r="O191" s="24" t="str">
        <f t="shared" si="15"/>
        <v/>
      </c>
      <c r="P191" s="25" t="str">
        <f t="shared" si="16"/>
        <v/>
      </c>
      <c r="Q191" t="str">
        <f t="shared" si="17"/>
        <v/>
      </c>
      <c r="AC191" s="23" t="str">
        <f t="shared" si="12"/>
        <v/>
      </c>
    </row>
    <row r="192" spans="1:29" ht="15" customHeight="1" x14ac:dyDescent="0.2">
      <c r="A192" t="str">
        <f t="shared" si="13"/>
        <v/>
      </c>
      <c r="N192" s="23" t="str">
        <f t="shared" si="14"/>
        <v/>
      </c>
      <c r="O192" s="24" t="str">
        <f t="shared" si="15"/>
        <v/>
      </c>
      <c r="P192" s="25" t="str">
        <f t="shared" si="16"/>
        <v/>
      </c>
      <c r="Q192" t="str">
        <f t="shared" si="17"/>
        <v/>
      </c>
      <c r="AC192" s="23" t="str">
        <f t="shared" si="12"/>
        <v/>
      </c>
    </row>
    <row r="193" spans="1:29" ht="15" customHeight="1" x14ac:dyDescent="0.2">
      <c r="A193" t="str">
        <f t="shared" si="13"/>
        <v/>
      </c>
      <c r="N193" s="23" t="str">
        <f t="shared" si="14"/>
        <v/>
      </c>
      <c r="O193" s="24" t="str">
        <f t="shared" si="15"/>
        <v/>
      </c>
      <c r="P193" s="25" t="str">
        <f t="shared" si="16"/>
        <v/>
      </c>
      <c r="Q193" t="str">
        <f t="shared" si="17"/>
        <v/>
      </c>
      <c r="AC193" s="23" t="str">
        <f t="shared" si="12"/>
        <v/>
      </c>
    </row>
    <row r="194" spans="1:29" ht="15" customHeight="1" x14ac:dyDescent="0.2">
      <c r="A194" t="str">
        <f t="shared" si="13"/>
        <v/>
      </c>
      <c r="N194" s="23" t="str">
        <f t="shared" si="14"/>
        <v/>
      </c>
      <c r="O194" s="24" t="str">
        <f t="shared" si="15"/>
        <v/>
      </c>
      <c r="P194" s="25" t="str">
        <f t="shared" si="16"/>
        <v/>
      </c>
      <c r="Q194" t="str">
        <f t="shared" si="17"/>
        <v/>
      </c>
      <c r="AC194" s="23" t="str">
        <f t="shared" ref="AC194:AC257" si="18">IF(N194="","",N194-IF(Z194="",0,Z194))</f>
        <v/>
      </c>
    </row>
    <row r="195" spans="1:29" ht="15" customHeight="1" x14ac:dyDescent="0.2">
      <c r="A195" t="str">
        <f t="shared" si="13"/>
        <v/>
      </c>
      <c r="N195" s="23" t="str">
        <f t="shared" si="14"/>
        <v/>
      </c>
      <c r="O195" s="24" t="str">
        <f t="shared" si="15"/>
        <v/>
      </c>
      <c r="P195" s="25" t="str">
        <f t="shared" si="16"/>
        <v/>
      </c>
      <c r="Q195" t="str">
        <f t="shared" si="17"/>
        <v/>
      </c>
      <c r="AC195" s="23" t="str">
        <f t="shared" si="18"/>
        <v/>
      </c>
    </row>
    <row r="196" spans="1:29" ht="15" customHeight="1" x14ac:dyDescent="0.2">
      <c r="A196" t="str">
        <f t="shared" si="13"/>
        <v/>
      </c>
      <c r="N196" s="23" t="str">
        <f t="shared" si="14"/>
        <v/>
      </c>
      <c r="O196" s="24" t="str">
        <f t="shared" si="15"/>
        <v/>
      </c>
      <c r="P196" s="25" t="str">
        <f t="shared" si="16"/>
        <v/>
      </c>
      <c r="Q196" t="str">
        <f t="shared" si="17"/>
        <v/>
      </c>
      <c r="AC196" s="23" t="str">
        <f t="shared" si="18"/>
        <v/>
      </c>
    </row>
    <row r="197" spans="1:29" ht="15" customHeight="1" x14ac:dyDescent="0.2">
      <c r="A197" t="str">
        <f t="shared" si="13"/>
        <v/>
      </c>
      <c r="N197" s="23" t="str">
        <f t="shared" si="14"/>
        <v/>
      </c>
      <c r="O197" s="24" t="str">
        <f t="shared" si="15"/>
        <v/>
      </c>
      <c r="P197" s="25" t="str">
        <f t="shared" si="16"/>
        <v/>
      </c>
      <c r="Q197" t="str">
        <f t="shared" si="17"/>
        <v/>
      </c>
      <c r="AC197" s="23" t="str">
        <f t="shared" si="18"/>
        <v/>
      </c>
    </row>
    <row r="198" spans="1:29" ht="15" customHeight="1" x14ac:dyDescent="0.2">
      <c r="A198" t="str">
        <f t="shared" si="13"/>
        <v/>
      </c>
      <c r="N198" s="23" t="str">
        <f t="shared" si="14"/>
        <v/>
      </c>
      <c r="O198" s="24" t="str">
        <f t="shared" si="15"/>
        <v/>
      </c>
      <c r="P198" s="25" t="str">
        <f t="shared" si="16"/>
        <v/>
      </c>
      <c r="Q198" t="str">
        <f t="shared" si="17"/>
        <v/>
      </c>
      <c r="AC198" s="23" t="str">
        <f t="shared" si="18"/>
        <v/>
      </c>
    </row>
    <row r="199" spans="1:29" ht="15" customHeight="1" x14ac:dyDescent="0.2">
      <c r="A199" t="str">
        <f t="shared" si="13"/>
        <v/>
      </c>
      <c r="N199" s="23" t="str">
        <f t="shared" si="14"/>
        <v/>
      </c>
      <c r="O199" s="24" t="str">
        <f t="shared" si="15"/>
        <v/>
      </c>
      <c r="P199" s="25" t="str">
        <f t="shared" si="16"/>
        <v/>
      </c>
      <c r="Q199" t="str">
        <f t="shared" si="17"/>
        <v/>
      </c>
      <c r="AC199" s="23" t="str">
        <f t="shared" si="18"/>
        <v/>
      </c>
    </row>
    <row r="200" spans="1:29" ht="15" customHeight="1" x14ac:dyDescent="0.2">
      <c r="A200" t="str">
        <f t="shared" si="13"/>
        <v/>
      </c>
      <c r="N200" s="23" t="str">
        <f t="shared" si="14"/>
        <v/>
      </c>
      <c r="O200" s="24" t="str">
        <f t="shared" si="15"/>
        <v/>
      </c>
      <c r="P200" s="25" t="str">
        <f t="shared" si="16"/>
        <v/>
      </c>
      <c r="Q200" t="str">
        <f t="shared" si="17"/>
        <v/>
      </c>
      <c r="AC200" s="23" t="str">
        <f t="shared" si="18"/>
        <v/>
      </c>
    </row>
    <row r="201" spans="1:29" ht="15" customHeight="1" x14ac:dyDescent="0.2">
      <c r="A201" t="str">
        <f t="shared" si="13"/>
        <v/>
      </c>
      <c r="N201" s="23" t="str">
        <f t="shared" si="14"/>
        <v/>
      </c>
      <c r="O201" s="24" t="str">
        <f t="shared" si="15"/>
        <v/>
      </c>
      <c r="P201" s="25" t="str">
        <f t="shared" si="16"/>
        <v/>
      </c>
      <c r="Q201" t="str">
        <f t="shared" si="17"/>
        <v/>
      </c>
      <c r="AC201" s="23" t="str">
        <f t="shared" si="18"/>
        <v/>
      </c>
    </row>
    <row r="202" spans="1:29" ht="15" customHeight="1" x14ac:dyDescent="0.2">
      <c r="A202" t="str">
        <f t="shared" si="13"/>
        <v/>
      </c>
      <c r="N202" s="23" t="str">
        <f t="shared" si="14"/>
        <v/>
      </c>
      <c r="O202" s="24" t="str">
        <f t="shared" si="15"/>
        <v/>
      </c>
      <c r="P202" s="25" t="str">
        <f t="shared" si="16"/>
        <v/>
      </c>
      <c r="Q202" t="str">
        <f t="shared" si="17"/>
        <v/>
      </c>
      <c r="AC202" s="23" t="str">
        <f t="shared" si="18"/>
        <v/>
      </c>
    </row>
    <row r="203" spans="1:29" ht="15" customHeight="1" x14ac:dyDescent="0.2">
      <c r="A203" t="str">
        <f t="shared" si="13"/>
        <v/>
      </c>
      <c r="N203" s="23" t="str">
        <f t="shared" si="14"/>
        <v/>
      </c>
      <c r="O203" s="24" t="str">
        <f t="shared" si="15"/>
        <v/>
      </c>
      <c r="P203" s="25" t="str">
        <f t="shared" si="16"/>
        <v/>
      </c>
      <c r="Q203" t="str">
        <f t="shared" si="17"/>
        <v/>
      </c>
      <c r="AC203" s="23" t="str">
        <f t="shared" si="18"/>
        <v/>
      </c>
    </row>
    <row r="204" spans="1:29" ht="15" customHeight="1" x14ac:dyDescent="0.2">
      <c r="A204" t="str">
        <f t="shared" si="13"/>
        <v/>
      </c>
      <c r="N204" s="23" t="str">
        <f t="shared" si="14"/>
        <v/>
      </c>
      <c r="O204" s="24" t="str">
        <f t="shared" si="15"/>
        <v/>
      </c>
      <c r="P204" s="25" t="str">
        <f t="shared" si="16"/>
        <v/>
      </c>
      <c r="Q204" t="str">
        <f t="shared" si="17"/>
        <v/>
      </c>
      <c r="AC204" s="23" t="str">
        <f t="shared" si="18"/>
        <v/>
      </c>
    </row>
    <row r="205" spans="1:29" ht="15" customHeight="1" x14ac:dyDescent="0.2">
      <c r="A205" t="str">
        <f t="shared" si="13"/>
        <v/>
      </c>
      <c r="N205" s="23" t="str">
        <f t="shared" si="14"/>
        <v/>
      </c>
      <c r="O205" s="24" t="str">
        <f t="shared" si="15"/>
        <v/>
      </c>
      <c r="P205" s="25" t="str">
        <f t="shared" si="16"/>
        <v/>
      </c>
      <c r="Q205" t="str">
        <f t="shared" si="17"/>
        <v/>
      </c>
      <c r="AC205" s="23" t="str">
        <f t="shared" si="18"/>
        <v/>
      </c>
    </row>
    <row r="206" spans="1:29" ht="15" customHeight="1" x14ac:dyDescent="0.2">
      <c r="A206" t="str">
        <f t="shared" ref="A206:A269" si="19">IF(B206="","",ROW()-1)</f>
        <v/>
      </c>
      <c r="N206" s="23" t="str">
        <f t="shared" ref="N206:N269" si="20">IF(OR(K206="",G206="",J206=""),"",IF(E206="LONG",(K206-G206)*J206,(G206-K206)*J206))</f>
        <v/>
      </c>
      <c r="O206" s="24" t="str">
        <f t="shared" ref="O206:O269" si="21">IF(OR(K206="",G206="",G206=0),"",IF(E206="LONG",(K206-G206)/G206,(G206-K206)/G206))</f>
        <v/>
      </c>
      <c r="P206" s="25" t="str">
        <f t="shared" ref="P206:P269" si="22">IF(OR(N206="",H206="",G206="",ABS(G206-H206)=0),"",N206/(ABS(G206-H206)*J206))</f>
        <v/>
      </c>
      <c r="Q206" t="str">
        <f t="shared" ref="Q206:Q269" si="23">IF(N206="","",IF(N206&gt;0,"WIN",IF(N206&lt;0,"LOSS","FLAT")))</f>
        <v/>
      </c>
      <c r="AC206" s="23" t="str">
        <f t="shared" si="18"/>
        <v/>
      </c>
    </row>
    <row r="207" spans="1:29" ht="15" customHeight="1" x14ac:dyDescent="0.2">
      <c r="A207" t="str">
        <f t="shared" si="19"/>
        <v/>
      </c>
      <c r="N207" s="23" t="str">
        <f t="shared" si="20"/>
        <v/>
      </c>
      <c r="O207" s="24" t="str">
        <f t="shared" si="21"/>
        <v/>
      </c>
      <c r="P207" s="25" t="str">
        <f t="shared" si="22"/>
        <v/>
      </c>
      <c r="Q207" t="str">
        <f t="shared" si="23"/>
        <v/>
      </c>
      <c r="AC207" s="23" t="str">
        <f t="shared" si="18"/>
        <v/>
      </c>
    </row>
    <row r="208" spans="1:29" ht="15" customHeight="1" x14ac:dyDescent="0.2">
      <c r="A208" t="str">
        <f t="shared" si="19"/>
        <v/>
      </c>
      <c r="N208" s="23" t="str">
        <f t="shared" si="20"/>
        <v/>
      </c>
      <c r="O208" s="24" t="str">
        <f t="shared" si="21"/>
        <v/>
      </c>
      <c r="P208" s="25" t="str">
        <f t="shared" si="22"/>
        <v/>
      </c>
      <c r="Q208" t="str">
        <f t="shared" si="23"/>
        <v/>
      </c>
      <c r="AC208" s="23" t="str">
        <f t="shared" si="18"/>
        <v/>
      </c>
    </row>
    <row r="209" spans="1:29" ht="15" customHeight="1" x14ac:dyDescent="0.2">
      <c r="A209" t="str">
        <f t="shared" si="19"/>
        <v/>
      </c>
      <c r="N209" s="23" t="str">
        <f t="shared" si="20"/>
        <v/>
      </c>
      <c r="O209" s="24" t="str">
        <f t="shared" si="21"/>
        <v/>
      </c>
      <c r="P209" s="25" t="str">
        <f t="shared" si="22"/>
        <v/>
      </c>
      <c r="Q209" t="str">
        <f t="shared" si="23"/>
        <v/>
      </c>
      <c r="AC209" s="23" t="str">
        <f t="shared" si="18"/>
        <v/>
      </c>
    </row>
    <row r="210" spans="1:29" ht="15" customHeight="1" x14ac:dyDescent="0.2">
      <c r="A210" t="str">
        <f t="shared" si="19"/>
        <v/>
      </c>
      <c r="N210" s="23" t="str">
        <f t="shared" si="20"/>
        <v/>
      </c>
      <c r="O210" s="24" t="str">
        <f t="shared" si="21"/>
        <v/>
      </c>
      <c r="P210" s="25" t="str">
        <f t="shared" si="22"/>
        <v/>
      </c>
      <c r="Q210" t="str">
        <f t="shared" si="23"/>
        <v/>
      </c>
      <c r="AC210" s="23" t="str">
        <f t="shared" si="18"/>
        <v/>
      </c>
    </row>
    <row r="211" spans="1:29" ht="15" customHeight="1" x14ac:dyDescent="0.2">
      <c r="A211" t="str">
        <f t="shared" si="19"/>
        <v/>
      </c>
      <c r="N211" s="23" t="str">
        <f t="shared" si="20"/>
        <v/>
      </c>
      <c r="O211" s="24" t="str">
        <f t="shared" si="21"/>
        <v/>
      </c>
      <c r="P211" s="25" t="str">
        <f t="shared" si="22"/>
        <v/>
      </c>
      <c r="Q211" t="str">
        <f t="shared" si="23"/>
        <v/>
      </c>
      <c r="AC211" s="23" t="str">
        <f t="shared" si="18"/>
        <v/>
      </c>
    </row>
    <row r="212" spans="1:29" ht="15" customHeight="1" x14ac:dyDescent="0.2">
      <c r="A212" t="str">
        <f t="shared" si="19"/>
        <v/>
      </c>
      <c r="N212" s="23" t="str">
        <f t="shared" si="20"/>
        <v/>
      </c>
      <c r="O212" s="24" t="str">
        <f t="shared" si="21"/>
        <v/>
      </c>
      <c r="P212" s="25" t="str">
        <f t="shared" si="22"/>
        <v/>
      </c>
      <c r="Q212" t="str">
        <f t="shared" si="23"/>
        <v/>
      </c>
      <c r="AC212" s="23" t="str">
        <f t="shared" si="18"/>
        <v/>
      </c>
    </row>
    <row r="213" spans="1:29" ht="15" customHeight="1" x14ac:dyDescent="0.2">
      <c r="A213" t="str">
        <f t="shared" si="19"/>
        <v/>
      </c>
      <c r="N213" s="23" t="str">
        <f t="shared" si="20"/>
        <v/>
      </c>
      <c r="O213" s="24" t="str">
        <f t="shared" si="21"/>
        <v/>
      </c>
      <c r="P213" s="25" t="str">
        <f t="shared" si="22"/>
        <v/>
      </c>
      <c r="Q213" t="str">
        <f t="shared" si="23"/>
        <v/>
      </c>
      <c r="AC213" s="23" t="str">
        <f t="shared" si="18"/>
        <v/>
      </c>
    </row>
    <row r="214" spans="1:29" ht="15" customHeight="1" x14ac:dyDescent="0.2">
      <c r="A214" t="str">
        <f t="shared" si="19"/>
        <v/>
      </c>
      <c r="N214" s="23" t="str">
        <f t="shared" si="20"/>
        <v/>
      </c>
      <c r="O214" s="24" t="str">
        <f t="shared" si="21"/>
        <v/>
      </c>
      <c r="P214" s="25" t="str">
        <f t="shared" si="22"/>
        <v/>
      </c>
      <c r="Q214" t="str">
        <f t="shared" si="23"/>
        <v/>
      </c>
      <c r="AC214" s="23" t="str">
        <f t="shared" si="18"/>
        <v/>
      </c>
    </row>
    <row r="215" spans="1:29" ht="15" customHeight="1" x14ac:dyDescent="0.2">
      <c r="A215" t="str">
        <f t="shared" si="19"/>
        <v/>
      </c>
      <c r="N215" s="23" t="str">
        <f t="shared" si="20"/>
        <v/>
      </c>
      <c r="O215" s="24" t="str">
        <f t="shared" si="21"/>
        <v/>
      </c>
      <c r="P215" s="25" t="str">
        <f t="shared" si="22"/>
        <v/>
      </c>
      <c r="Q215" t="str">
        <f t="shared" si="23"/>
        <v/>
      </c>
      <c r="AC215" s="23" t="str">
        <f t="shared" si="18"/>
        <v/>
      </c>
    </row>
    <row r="216" spans="1:29" ht="15" customHeight="1" x14ac:dyDescent="0.2">
      <c r="A216" t="str">
        <f t="shared" si="19"/>
        <v/>
      </c>
      <c r="N216" s="23" t="str">
        <f t="shared" si="20"/>
        <v/>
      </c>
      <c r="O216" s="24" t="str">
        <f t="shared" si="21"/>
        <v/>
      </c>
      <c r="P216" s="25" t="str">
        <f t="shared" si="22"/>
        <v/>
      </c>
      <c r="Q216" t="str">
        <f t="shared" si="23"/>
        <v/>
      </c>
      <c r="AC216" s="23" t="str">
        <f t="shared" si="18"/>
        <v/>
      </c>
    </row>
    <row r="217" spans="1:29" ht="15" customHeight="1" x14ac:dyDescent="0.2">
      <c r="A217" t="str">
        <f t="shared" si="19"/>
        <v/>
      </c>
      <c r="N217" s="23" t="str">
        <f t="shared" si="20"/>
        <v/>
      </c>
      <c r="O217" s="24" t="str">
        <f t="shared" si="21"/>
        <v/>
      </c>
      <c r="P217" s="25" t="str">
        <f t="shared" si="22"/>
        <v/>
      </c>
      <c r="Q217" t="str">
        <f t="shared" si="23"/>
        <v/>
      </c>
      <c r="AC217" s="23" t="str">
        <f t="shared" si="18"/>
        <v/>
      </c>
    </row>
    <row r="218" spans="1:29" ht="15" customHeight="1" x14ac:dyDescent="0.2">
      <c r="A218" t="str">
        <f t="shared" si="19"/>
        <v/>
      </c>
      <c r="N218" s="23" t="str">
        <f t="shared" si="20"/>
        <v/>
      </c>
      <c r="O218" s="24" t="str">
        <f t="shared" si="21"/>
        <v/>
      </c>
      <c r="P218" s="25" t="str">
        <f t="shared" si="22"/>
        <v/>
      </c>
      <c r="Q218" t="str">
        <f t="shared" si="23"/>
        <v/>
      </c>
      <c r="AC218" s="23" t="str">
        <f t="shared" si="18"/>
        <v/>
      </c>
    </row>
    <row r="219" spans="1:29" ht="15" customHeight="1" x14ac:dyDescent="0.2">
      <c r="A219" t="str">
        <f t="shared" si="19"/>
        <v/>
      </c>
      <c r="N219" s="23" t="str">
        <f t="shared" si="20"/>
        <v/>
      </c>
      <c r="O219" s="24" t="str">
        <f t="shared" si="21"/>
        <v/>
      </c>
      <c r="P219" s="25" t="str">
        <f t="shared" si="22"/>
        <v/>
      </c>
      <c r="Q219" t="str">
        <f t="shared" si="23"/>
        <v/>
      </c>
      <c r="AC219" s="23" t="str">
        <f t="shared" si="18"/>
        <v/>
      </c>
    </row>
    <row r="220" spans="1:29" ht="15" customHeight="1" x14ac:dyDescent="0.2">
      <c r="A220" t="str">
        <f t="shared" si="19"/>
        <v/>
      </c>
      <c r="N220" s="23" t="str">
        <f t="shared" si="20"/>
        <v/>
      </c>
      <c r="O220" s="24" t="str">
        <f t="shared" si="21"/>
        <v/>
      </c>
      <c r="P220" s="25" t="str">
        <f t="shared" si="22"/>
        <v/>
      </c>
      <c r="Q220" t="str">
        <f t="shared" si="23"/>
        <v/>
      </c>
      <c r="AC220" s="23" t="str">
        <f t="shared" si="18"/>
        <v/>
      </c>
    </row>
    <row r="221" spans="1:29" ht="15" customHeight="1" x14ac:dyDescent="0.2">
      <c r="A221" t="str">
        <f t="shared" si="19"/>
        <v/>
      </c>
      <c r="N221" s="23" t="str">
        <f t="shared" si="20"/>
        <v/>
      </c>
      <c r="O221" s="24" t="str">
        <f t="shared" si="21"/>
        <v/>
      </c>
      <c r="P221" s="25" t="str">
        <f t="shared" si="22"/>
        <v/>
      </c>
      <c r="Q221" t="str">
        <f t="shared" si="23"/>
        <v/>
      </c>
      <c r="AC221" s="23" t="str">
        <f t="shared" si="18"/>
        <v/>
      </c>
    </row>
    <row r="222" spans="1:29" ht="15" customHeight="1" x14ac:dyDescent="0.2">
      <c r="A222" t="str">
        <f t="shared" si="19"/>
        <v/>
      </c>
      <c r="N222" s="23" t="str">
        <f t="shared" si="20"/>
        <v/>
      </c>
      <c r="O222" s="24" t="str">
        <f t="shared" si="21"/>
        <v/>
      </c>
      <c r="P222" s="25" t="str">
        <f t="shared" si="22"/>
        <v/>
      </c>
      <c r="Q222" t="str">
        <f t="shared" si="23"/>
        <v/>
      </c>
      <c r="AC222" s="23" t="str">
        <f t="shared" si="18"/>
        <v/>
      </c>
    </row>
    <row r="223" spans="1:29" ht="15" customHeight="1" x14ac:dyDescent="0.2">
      <c r="A223" t="str">
        <f t="shared" si="19"/>
        <v/>
      </c>
      <c r="N223" s="23" t="str">
        <f t="shared" si="20"/>
        <v/>
      </c>
      <c r="O223" s="24" t="str">
        <f t="shared" si="21"/>
        <v/>
      </c>
      <c r="P223" s="25" t="str">
        <f t="shared" si="22"/>
        <v/>
      </c>
      <c r="Q223" t="str">
        <f t="shared" si="23"/>
        <v/>
      </c>
      <c r="AC223" s="23" t="str">
        <f t="shared" si="18"/>
        <v/>
      </c>
    </row>
    <row r="224" spans="1:29" ht="15" customHeight="1" x14ac:dyDescent="0.2">
      <c r="A224" t="str">
        <f t="shared" si="19"/>
        <v/>
      </c>
      <c r="N224" s="23" t="str">
        <f t="shared" si="20"/>
        <v/>
      </c>
      <c r="O224" s="24" t="str">
        <f t="shared" si="21"/>
        <v/>
      </c>
      <c r="P224" s="25" t="str">
        <f t="shared" si="22"/>
        <v/>
      </c>
      <c r="Q224" t="str">
        <f t="shared" si="23"/>
        <v/>
      </c>
      <c r="AC224" s="23" t="str">
        <f t="shared" si="18"/>
        <v/>
      </c>
    </row>
    <row r="225" spans="1:29" ht="15" customHeight="1" x14ac:dyDescent="0.2">
      <c r="A225" t="str">
        <f t="shared" si="19"/>
        <v/>
      </c>
      <c r="N225" s="23" t="str">
        <f t="shared" si="20"/>
        <v/>
      </c>
      <c r="O225" s="24" t="str">
        <f t="shared" si="21"/>
        <v/>
      </c>
      <c r="P225" s="25" t="str">
        <f t="shared" si="22"/>
        <v/>
      </c>
      <c r="Q225" t="str">
        <f t="shared" si="23"/>
        <v/>
      </c>
      <c r="AC225" s="23" t="str">
        <f t="shared" si="18"/>
        <v/>
      </c>
    </row>
    <row r="226" spans="1:29" ht="15" customHeight="1" x14ac:dyDescent="0.2">
      <c r="A226" t="str">
        <f t="shared" si="19"/>
        <v/>
      </c>
      <c r="N226" s="23" t="str">
        <f t="shared" si="20"/>
        <v/>
      </c>
      <c r="O226" s="24" t="str">
        <f t="shared" si="21"/>
        <v/>
      </c>
      <c r="P226" s="25" t="str">
        <f t="shared" si="22"/>
        <v/>
      </c>
      <c r="Q226" t="str">
        <f t="shared" si="23"/>
        <v/>
      </c>
      <c r="AC226" s="23" t="str">
        <f t="shared" si="18"/>
        <v/>
      </c>
    </row>
    <row r="227" spans="1:29" ht="15" customHeight="1" x14ac:dyDescent="0.2">
      <c r="A227" t="str">
        <f t="shared" si="19"/>
        <v/>
      </c>
      <c r="N227" s="23" t="str">
        <f t="shared" si="20"/>
        <v/>
      </c>
      <c r="O227" s="24" t="str">
        <f t="shared" si="21"/>
        <v/>
      </c>
      <c r="P227" s="25" t="str">
        <f t="shared" si="22"/>
        <v/>
      </c>
      <c r="Q227" t="str">
        <f t="shared" si="23"/>
        <v/>
      </c>
      <c r="AC227" s="23" t="str">
        <f t="shared" si="18"/>
        <v/>
      </c>
    </row>
    <row r="228" spans="1:29" ht="15" customHeight="1" x14ac:dyDescent="0.2">
      <c r="A228" t="str">
        <f t="shared" si="19"/>
        <v/>
      </c>
      <c r="N228" s="23" t="str">
        <f t="shared" si="20"/>
        <v/>
      </c>
      <c r="O228" s="24" t="str">
        <f t="shared" si="21"/>
        <v/>
      </c>
      <c r="P228" s="25" t="str">
        <f t="shared" si="22"/>
        <v/>
      </c>
      <c r="Q228" t="str">
        <f t="shared" si="23"/>
        <v/>
      </c>
      <c r="AC228" s="23" t="str">
        <f t="shared" si="18"/>
        <v/>
      </c>
    </row>
    <row r="229" spans="1:29" ht="15" customHeight="1" x14ac:dyDescent="0.2">
      <c r="A229" t="str">
        <f t="shared" si="19"/>
        <v/>
      </c>
      <c r="N229" s="23" t="str">
        <f t="shared" si="20"/>
        <v/>
      </c>
      <c r="O229" s="24" t="str">
        <f t="shared" si="21"/>
        <v/>
      </c>
      <c r="P229" s="25" t="str">
        <f t="shared" si="22"/>
        <v/>
      </c>
      <c r="Q229" t="str">
        <f t="shared" si="23"/>
        <v/>
      </c>
      <c r="AC229" s="23" t="str">
        <f t="shared" si="18"/>
        <v/>
      </c>
    </row>
    <row r="230" spans="1:29" ht="15" customHeight="1" x14ac:dyDescent="0.2">
      <c r="A230" t="str">
        <f t="shared" si="19"/>
        <v/>
      </c>
      <c r="N230" s="23" t="str">
        <f t="shared" si="20"/>
        <v/>
      </c>
      <c r="O230" s="24" t="str">
        <f t="shared" si="21"/>
        <v/>
      </c>
      <c r="P230" s="25" t="str">
        <f t="shared" si="22"/>
        <v/>
      </c>
      <c r="Q230" t="str">
        <f t="shared" si="23"/>
        <v/>
      </c>
      <c r="AC230" s="23" t="str">
        <f t="shared" si="18"/>
        <v/>
      </c>
    </row>
    <row r="231" spans="1:29" ht="15" customHeight="1" x14ac:dyDescent="0.2">
      <c r="A231" t="str">
        <f t="shared" si="19"/>
        <v/>
      </c>
      <c r="N231" s="23" t="str">
        <f t="shared" si="20"/>
        <v/>
      </c>
      <c r="O231" s="24" t="str">
        <f t="shared" si="21"/>
        <v/>
      </c>
      <c r="P231" s="25" t="str">
        <f t="shared" si="22"/>
        <v/>
      </c>
      <c r="Q231" t="str">
        <f t="shared" si="23"/>
        <v/>
      </c>
      <c r="AC231" s="23" t="str">
        <f t="shared" si="18"/>
        <v/>
      </c>
    </row>
    <row r="232" spans="1:29" ht="15" customHeight="1" x14ac:dyDescent="0.2">
      <c r="A232" t="str">
        <f t="shared" si="19"/>
        <v/>
      </c>
      <c r="N232" s="23" t="str">
        <f t="shared" si="20"/>
        <v/>
      </c>
      <c r="O232" s="24" t="str">
        <f t="shared" si="21"/>
        <v/>
      </c>
      <c r="P232" s="25" t="str">
        <f t="shared" si="22"/>
        <v/>
      </c>
      <c r="Q232" t="str">
        <f t="shared" si="23"/>
        <v/>
      </c>
      <c r="AC232" s="23" t="str">
        <f t="shared" si="18"/>
        <v/>
      </c>
    </row>
    <row r="233" spans="1:29" ht="15" customHeight="1" x14ac:dyDescent="0.2">
      <c r="A233" t="str">
        <f t="shared" si="19"/>
        <v/>
      </c>
      <c r="N233" s="23" t="str">
        <f t="shared" si="20"/>
        <v/>
      </c>
      <c r="O233" s="24" t="str">
        <f t="shared" si="21"/>
        <v/>
      </c>
      <c r="P233" s="25" t="str">
        <f t="shared" si="22"/>
        <v/>
      </c>
      <c r="Q233" t="str">
        <f t="shared" si="23"/>
        <v/>
      </c>
      <c r="AC233" s="23" t="str">
        <f t="shared" si="18"/>
        <v/>
      </c>
    </row>
    <row r="234" spans="1:29" ht="15" customHeight="1" x14ac:dyDescent="0.2">
      <c r="A234" t="str">
        <f t="shared" si="19"/>
        <v/>
      </c>
      <c r="N234" s="23" t="str">
        <f t="shared" si="20"/>
        <v/>
      </c>
      <c r="O234" s="24" t="str">
        <f t="shared" si="21"/>
        <v/>
      </c>
      <c r="P234" s="25" t="str">
        <f t="shared" si="22"/>
        <v/>
      </c>
      <c r="Q234" t="str">
        <f t="shared" si="23"/>
        <v/>
      </c>
      <c r="AC234" s="23" t="str">
        <f t="shared" si="18"/>
        <v/>
      </c>
    </row>
    <row r="235" spans="1:29" ht="15" customHeight="1" x14ac:dyDescent="0.2">
      <c r="A235" t="str">
        <f t="shared" si="19"/>
        <v/>
      </c>
      <c r="N235" s="23" t="str">
        <f t="shared" si="20"/>
        <v/>
      </c>
      <c r="O235" s="24" t="str">
        <f t="shared" si="21"/>
        <v/>
      </c>
      <c r="P235" s="25" t="str">
        <f t="shared" si="22"/>
        <v/>
      </c>
      <c r="Q235" t="str">
        <f t="shared" si="23"/>
        <v/>
      </c>
      <c r="AC235" s="23" t="str">
        <f t="shared" si="18"/>
        <v/>
      </c>
    </row>
    <row r="236" spans="1:29" ht="15" customHeight="1" x14ac:dyDescent="0.2">
      <c r="A236" t="str">
        <f t="shared" si="19"/>
        <v/>
      </c>
      <c r="N236" s="23" t="str">
        <f t="shared" si="20"/>
        <v/>
      </c>
      <c r="O236" s="24" t="str">
        <f t="shared" si="21"/>
        <v/>
      </c>
      <c r="P236" s="25" t="str">
        <f t="shared" si="22"/>
        <v/>
      </c>
      <c r="Q236" t="str">
        <f t="shared" si="23"/>
        <v/>
      </c>
      <c r="AC236" s="23" t="str">
        <f t="shared" si="18"/>
        <v/>
      </c>
    </row>
    <row r="237" spans="1:29" ht="15" customHeight="1" x14ac:dyDescent="0.2">
      <c r="A237" t="str">
        <f t="shared" si="19"/>
        <v/>
      </c>
      <c r="N237" s="23" t="str">
        <f t="shared" si="20"/>
        <v/>
      </c>
      <c r="O237" s="24" t="str">
        <f t="shared" si="21"/>
        <v/>
      </c>
      <c r="P237" s="25" t="str">
        <f t="shared" si="22"/>
        <v/>
      </c>
      <c r="Q237" t="str">
        <f t="shared" si="23"/>
        <v/>
      </c>
      <c r="AC237" s="23" t="str">
        <f t="shared" si="18"/>
        <v/>
      </c>
    </row>
    <row r="238" spans="1:29" ht="15" customHeight="1" x14ac:dyDescent="0.2">
      <c r="A238" t="str">
        <f t="shared" si="19"/>
        <v/>
      </c>
      <c r="N238" s="23" t="str">
        <f t="shared" si="20"/>
        <v/>
      </c>
      <c r="O238" s="24" t="str">
        <f t="shared" si="21"/>
        <v/>
      </c>
      <c r="P238" s="25" t="str">
        <f t="shared" si="22"/>
        <v/>
      </c>
      <c r="Q238" t="str">
        <f t="shared" si="23"/>
        <v/>
      </c>
      <c r="AC238" s="23" t="str">
        <f t="shared" si="18"/>
        <v/>
      </c>
    </row>
    <row r="239" spans="1:29" ht="15" customHeight="1" x14ac:dyDescent="0.2">
      <c r="A239" t="str">
        <f t="shared" si="19"/>
        <v/>
      </c>
      <c r="N239" s="23" t="str">
        <f t="shared" si="20"/>
        <v/>
      </c>
      <c r="O239" s="24" t="str">
        <f t="shared" si="21"/>
        <v/>
      </c>
      <c r="P239" s="25" t="str">
        <f t="shared" si="22"/>
        <v/>
      </c>
      <c r="Q239" t="str">
        <f t="shared" si="23"/>
        <v/>
      </c>
      <c r="AC239" s="23" t="str">
        <f t="shared" si="18"/>
        <v/>
      </c>
    </row>
    <row r="240" spans="1:29" ht="15" customHeight="1" x14ac:dyDescent="0.2">
      <c r="A240" t="str">
        <f t="shared" si="19"/>
        <v/>
      </c>
      <c r="N240" s="23" t="str">
        <f t="shared" si="20"/>
        <v/>
      </c>
      <c r="O240" s="24" t="str">
        <f t="shared" si="21"/>
        <v/>
      </c>
      <c r="P240" s="25" t="str">
        <f t="shared" si="22"/>
        <v/>
      </c>
      <c r="Q240" t="str">
        <f t="shared" si="23"/>
        <v/>
      </c>
      <c r="AC240" s="23" t="str">
        <f t="shared" si="18"/>
        <v/>
      </c>
    </row>
    <row r="241" spans="1:29" ht="15" customHeight="1" x14ac:dyDescent="0.2">
      <c r="A241" t="str">
        <f t="shared" si="19"/>
        <v/>
      </c>
      <c r="N241" s="23" t="str">
        <f t="shared" si="20"/>
        <v/>
      </c>
      <c r="O241" s="24" t="str">
        <f t="shared" si="21"/>
        <v/>
      </c>
      <c r="P241" s="25" t="str">
        <f t="shared" si="22"/>
        <v/>
      </c>
      <c r="Q241" t="str">
        <f t="shared" si="23"/>
        <v/>
      </c>
      <c r="AC241" s="23" t="str">
        <f t="shared" si="18"/>
        <v/>
      </c>
    </row>
    <row r="242" spans="1:29" ht="15" customHeight="1" x14ac:dyDescent="0.2">
      <c r="A242" t="str">
        <f t="shared" si="19"/>
        <v/>
      </c>
      <c r="N242" s="23" t="str">
        <f t="shared" si="20"/>
        <v/>
      </c>
      <c r="O242" s="24" t="str">
        <f t="shared" si="21"/>
        <v/>
      </c>
      <c r="P242" s="25" t="str">
        <f t="shared" si="22"/>
        <v/>
      </c>
      <c r="Q242" t="str">
        <f t="shared" si="23"/>
        <v/>
      </c>
      <c r="AC242" s="23" t="str">
        <f t="shared" si="18"/>
        <v/>
      </c>
    </row>
    <row r="243" spans="1:29" ht="15" customHeight="1" x14ac:dyDescent="0.2">
      <c r="A243" t="str">
        <f t="shared" si="19"/>
        <v/>
      </c>
      <c r="N243" s="23" t="str">
        <f t="shared" si="20"/>
        <v/>
      </c>
      <c r="O243" s="24" t="str">
        <f t="shared" si="21"/>
        <v/>
      </c>
      <c r="P243" s="25" t="str">
        <f t="shared" si="22"/>
        <v/>
      </c>
      <c r="Q243" t="str">
        <f t="shared" si="23"/>
        <v/>
      </c>
      <c r="AC243" s="23" t="str">
        <f t="shared" si="18"/>
        <v/>
      </c>
    </row>
    <row r="244" spans="1:29" ht="15" customHeight="1" x14ac:dyDescent="0.2">
      <c r="A244" t="str">
        <f t="shared" si="19"/>
        <v/>
      </c>
      <c r="N244" s="23" t="str">
        <f t="shared" si="20"/>
        <v/>
      </c>
      <c r="O244" s="24" t="str">
        <f t="shared" si="21"/>
        <v/>
      </c>
      <c r="P244" s="25" t="str">
        <f t="shared" si="22"/>
        <v/>
      </c>
      <c r="Q244" t="str">
        <f t="shared" si="23"/>
        <v/>
      </c>
      <c r="AC244" s="23" t="str">
        <f t="shared" si="18"/>
        <v/>
      </c>
    </row>
    <row r="245" spans="1:29" ht="15" customHeight="1" x14ac:dyDescent="0.2">
      <c r="A245" t="str">
        <f t="shared" si="19"/>
        <v/>
      </c>
      <c r="N245" s="23" t="str">
        <f t="shared" si="20"/>
        <v/>
      </c>
      <c r="O245" s="24" t="str">
        <f t="shared" si="21"/>
        <v/>
      </c>
      <c r="P245" s="25" t="str">
        <f t="shared" si="22"/>
        <v/>
      </c>
      <c r="Q245" t="str">
        <f t="shared" si="23"/>
        <v/>
      </c>
      <c r="AC245" s="23" t="str">
        <f t="shared" si="18"/>
        <v/>
      </c>
    </row>
    <row r="246" spans="1:29" ht="15" customHeight="1" x14ac:dyDescent="0.2">
      <c r="A246" t="str">
        <f t="shared" si="19"/>
        <v/>
      </c>
      <c r="N246" s="23" t="str">
        <f t="shared" si="20"/>
        <v/>
      </c>
      <c r="O246" s="24" t="str">
        <f t="shared" si="21"/>
        <v/>
      </c>
      <c r="P246" s="25" t="str">
        <f t="shared" si="22"/>
        <v/>
      </c>
      <c r="Q246" t="str">
        <f t="shared" si="23"/>
        <v/>
      </c>
      <c r="AC246" s="23" t="str">
        <f t="shared" si="18"/>
        <v/>
      </c>
    </row>
    <row r="247" spans="1:29" ht="15" customHeight="1" x14ac:dyDescent="0.2">
      <c r="A247" t="str">
        <f t="shared" si="19"/>
        <v/>
      </c>
      <c r="N247" s="23" t="str">
        <f t="shared" si="20"/>
        <v/>
      </c>
      <c r="O247" s="24" t="str">
        <f t="shared" si="21"/>
        <v/>
      </c>
      <c r="P247" s="25" t="str">
        <f t="shared" si="22"/>
        <v/>
      </c>
      <c r="Q247" t="str">
        <f t="shared" si="23"/>
        <v/>
      </c>
      <c r="AC247" s="23" t="str">
        <f t="shared" si="18"/>
        <v/>
      </c>
    </row>
    <row r="248" spans="1:29" ht="15" customHeight="1" x14ac:dyDescent="0.2">
      <c r="A248" t="str">
        <f t="shared" si="19"/>
        <v/>
      </c>
      <c r="N248" s="23" t="str">
        <f t="shared" si="20"/>
        <v/>
      </c>
      <c r="O248" s="24" t="str">
        <f t="shared" si="21"/>
        <v/>
      </c>
      <c r="P248" s="25" t="str">
        <f t="shared" si="22"/>
        <v/>
      </c>
      <c r="Q248" t="str">
        <f t="shared" si="23"/>
        <v/>
      </c>
      <c r="AC248" s="23" t="str">
        <f t="shared" si="18"/>
        <v/>
      </c>
    </row>
    <row r="249" spans="1:29" ht="15" customHeight="1" x14ac:dyDescent="0.2">
      <c r="A249" t="str">
        <f t="shared" si="19"/>
        <v/>
      </c>
      <c r="N249" s="23" t="str">
        <f t="shared" si="20"/>
        <v/>
      </c>
      <c r="O249" s="24" t="str">
        <f t="shared" si="21"/>
        <v/>
      </c>
      <c r="P249" s="25" t="str">
        <f t="shared" si="22"/>
        <v/>
      </c>
      <c r="Q249" t="str">
        <f t="shared" si="23"/>
        <v/>
      </c>
      <c r="AC249" s="23" t="str">
        <f t="shared" si="18"/>
        <v/>
      </c>
    </row>
    <row r="250" spans="1:29" ht="15" customHeight="1" x14ac:dyDescent="0.2">
      <c r="A250" t="str">
        <f t="shared" si="19"/>
        <v/>
      </c>
      <c r="N250" s="23" t="str">
        <f t="shared" si="20"/>
        <v/>
      </c>
      <c r="O250" s="24" t="str">
        <f t="shared" si="21"/>
        <v/>
      </c>
      <c r="P250" s="25" t="str">
        <f t="shared" si="22"/>
        <v/>
      </c>
      <c r="Q250" t="str">
        <f t="shared" si="23"/>
        <v/>
      </c>
      <c r="AC250" s="23" t="str">
        <f t="shared" si="18"/>
        <v/>
      </c>
    </row>
    <row r="251" spans="1:29" ht="15" customHeight="1" x14ac:dyDescent="0.2">
      <c r="A251" t="str">
        <f t="shared" si="19"/>
        <v/>
      </c>
      <c r="N251" s="23" t="str">
        <f t="shared" si="20"/>
        <v/>
      </c>
      <c r="O251" s="24" t="str">
        <f t="shared" si="21"/>
        <v/>
      </c>
      <c r="P251" s="25" t="str">
        <f t="shared" si="22"/>
        <v/>
      </c>
      <c r="Q251" t="str">
        <f t="shared" si="23"/>
        <v/>
      </c>
      <c r="AC251" s="23" t="str">
        <f t="shared" si="18"/>
        <v/>
      </c>
    </row>
    <row r="252" spans="1:29" ht="15" customHeight="1" x14ac:dyDescent="0.2">
      <c r="A252" t="str">
        <f t="shared" si="19"/>
        <v/>
      </c>
      <c r="N252" s="23" t="str">
        <f t="shared" si="20"/>
        <v/>
      </c>
      <c r="O252" s="24" t="str">
        <f t="shared" si="21"/>
        <v/>
      </c>
      <c r="P252" s="25" t="str">
        <f t="shared" si="22"/>
        <v/>
      </c>
      <c r="Q252" t="str">
        <f t="shared" si="23"/>
        <v/>
      </c>
      <c r="AC252" s="23" t="str">
        <f t="shared" si="18"/>
        <v/>
      </c>
    </row>
    <row r="253" spans="1:29" ht="15" customHeight="1" x14ac:dyDescent="0.2">
      <c r="A253" t="str">
        <f t="shared" si="19"/>
        <v/>
      </c>
      <c r="N253" s="23" t="str">
        <f t="shared" si="20"/>
        <v/>
      </c>
      <c r="O253" s="24" t="str">
        <f t="shared" si="21"/>
        <v/>
      </c>
      <c r="P253" s="25" t="str">
        <f t="shared" si="22"/>
        <v/>
      </c>
      <c r="Q253" t="str">
        <f t="shared" si="23"/>
        <v/>
      </c>
      <c r="AC253" s="23" t="str">
        <f t="shared" si="18"/>
        <v/>
      </c>
    </row>
    <row r="254" spans="1:29" ht="15" customHeight="1" x14ac:dyDescent="0.2">
      <c r="A254" t="str">
        <f t="shared" si="19"/>
        <v/>
      </c>
      <c r="N254" s="23" t="str">
        <f t="shared" si="20"/>
        <v/>
      </c>
      <c r="O254" s="24" t="str">
        <f t="shared" si="21"/>
        <v/>
      </c>
      <c r="P254" s="25" t="str">
        <f t="shared" si="22"/>
        <v/>
      </c>
      <c r="Q254" t="str">
        <f t="shared" si="23"/>
        <v/>
      </c>
      <c r="AC254" s="23" t="str">
        <f t="shared" si="18"/>
        <v/>
      </c>
    </row>
    <row r="255" spans="1:29" ht="15" customHeight="1" x14ac:dyDescent="0.2">
      <c r="A255" t="str">
        <f t="shared" si="19"/>
        <v/>
      </c>
      <c r="N255" s="23" t="str">
        <f t="shared" si="20"/>
        <v/>
      </c>
      <c r="O255" s="24" t="str">
        <f t="shared" si="21"/>
        <v/>
      </c>
      <c r="P255" s="25" t="str">
        <f t="shared" si="22"/>
        <v/>
      </c>
      <c r="Q255" t="str">
        <f t="shared" si="23"/>
        <v/>
      </c>
      <c r="AC255" s="23" t="str">
        <f t="shared" si="18"/>
        <v/>
      </c>
    </row>
    <row r="256" spans="1:29" ht="15" customHeight="1" x14ac:dyDescent="0.2">
      <c r="A256" t="str">
        <f t="shared" si="19"/>
        <v/>
      </c>
      <c r="N256" s="23" t="str">
        <f t="shared" si="20"/>
        <v/>
      </c>
      <c r="O256" s="24" t="str">
        <f t="shared" si="21"/>
        <v/>
      </c>
      <c r="P256" s="25" t="str">
        <f t="shared" si="22"/>
        <v/>
      </c>
      <c r="Q256" t="str">
        <f t="shared" si="23"/>
        <v/>
      </c>
      <c r="AC256" s="23" t="str">
        <f t="shared" si="18"/>
        <v/>
      </c>
    </row>
    <row r="257" spans="1:29" ht="15" customHeight="1" x14ac:dyDescent="0.2">
      <c r="A257" t="str">
        <f t="shared" si="19"/>
        <v/>
      </c>
      <c r="N257" s="23" t="str">
        <f t="shared" si="20"/>
        <v/>
      </c>
      <c r="O257" s="24" t="str">
        <f t="shared" si="21"/>
        <v/>
      </c>
      <c r="P257" s="25" t="str">
        <f t="shared" si="22"/>
        <v/>
      </c>
      <c r="Q257" t="str">
        <f t="shared" si="23"/>
        <v/>
      </c>
      <c r="AC257" s="23" t="str">
        <f t="shared" si="18"/>
        <v/>
      </c>
    </row>
    <row r="258" spans="1:29" ht="15" customHeight="1" x14ac:dyDescent="0.2">
      <c r="A258" t="str">
        <f t="shared" si="19"/>
        <v/>
      </c>
      <c r="N258" s="23" t="str">
        <f t="shared" si="20"/>
        <v/>
      </c>
      <c r="O258" s="24" t="str">
        <f t="shared" si="21"/>
        <v/>
      </c>
      <c r="P258" s="25" t="str">
        <f t="shared" si="22"/>
        <v/>
      </c>
      <c r="Q258" t="str">
        <f t="shared" si="23"/>
        <v/>
      </c>
      <c r="AC258" s="23" t="str">
        <f t="shared" ref="AC258:AC321" si="24">IF(N258="","",N258-IF(Z258="",0,Z258))</f>
        <v/>
      </c>
    </row>
    <row r="259" spans="1:29" ht="15" customHeight="1" x14ac:dyDescent="0.2">
      <c r="A259" t="str">
        <f t="shared" si="19"/>
        <v/>
      </c>
      <c r="N259" s="23" t="str">
        <f t="shared" si="20"/>
        <v/>
      </c>
      <c r="O259" s="24" t="str">
        <f t="shared" si="21"/>
        <v/>
      </c>
      <c r="P259" s="25" t="str">
        <f t="shared" si="22"/>
        <v/>
      </c>
      <c r="Q259" t="str">
        <f t="shared" si="23"/>
        <v/>
      </c>
      <c r="AC259" s="23" t="str">
        <f t="shared" si="24"/>
        <v/>
      </c>
    </row>
    <row r="260" spans="1:29" ht="15" customHeight="1" x14ac:dyDescent="0.2">
      <c r="A260" t="str">
        <f t="shared" si="19"/>
        <v/>
      </c>
      <c r="N260" s="23" t="str">
        <f t="shared" si="20"/>
        <v/>
      </c>
      <c r="O260" s="24" t="str">
        <f t="shared" si="21"/>
        <v/>
      </c>
      <c r="P260" s="25" t="str">
        <f t="shared" si="22"/>
        <v/>
      </c>
      <c r="Q260" t="str">
        <f t="shared" si="23"/>
        <v/>
      </c>
      <c r="AC260" s="23" t="str">
        <f t="shared" si="24"/>
        <v/>
      </c>
    </row>
    <row r="261" spans="1:29" ht="15" customHeight="1" x14ac:dyDescent="0.2">
      <c r="A261" t="str">
        <f t="shared" si="19"/>
        <v/>
      </c>
      <c r="N261" s="23" t="str">
        <f t="shared" si="20"/>
        <v/>
      </c>
      <c r="O261" s="24" t="str">
        <f t="shared" si="21"/>
        <v/>
      </c>
      <c r="P261" s="25" t="str">
        <f t="shared" si="22"/>
        <v/>
      </c>
      <c r="Q261" t="str">
        <f t="shared" si="23"/>
        <v/>
      </c>
      <c r="AC261" s="23" t="str">
        <f t="shared" si="24"/>
        <v/>
      </c>
    </row>
    <row r="262" spans="1:29" ht="15" customHeight="1" x14ac:dyDescent="0.2">
      <c r="A262" t="str">
        <f t="shared" si="19"/>
        <v/>
      </c>
      <c r="N262" s="23" t="str">
        <f t="shared" si="20"/>
        <v/>
      </c>
      <c r="O262" s="24" t="str">
        <f t="shared" si="21"/>
        <v/>
      </c>
      <c r="P262" s="25" t="str">
        <f t="shared" si="22"/>
        <v/>
      </c>
      <c r="Q262" t="str">
        <f t="shared" si="23"/>
        <v/>
      </c>
      <c r="AC262" s="23" t="str">
        <f t="shared" si="24"/>
        <v/>
      </c>
    </row>
    <row r="263" spans="1:29" ht="15" customHeight="1" x14ac:dyDescent="0.2">
      <c r="A263" t="str">
        <f t="shared" si="19"/>
        <v/>
      </c>
      <c r="N263" s="23" t="str">
        <f t="shared" si="20"/>
        <v/>
      </c>
      <c r="O263" s="24" t="str">
        <f t="shared" si="21"/>
        <v/>
      </c>
      <c r="P263" s="25" t="str">
        <f t="shared" si="22"/>
        <v/>
      </c>
      <c r="Q263" t="str">
        <f t="shared" si="23"/>
        <v/>
      </c>
      <c r="AC263" s="23" t="str">
        <f t="shared" si="24"/>
        <v/>
      </c>
    </row>
    <row r="264" spans="1:29" ht="15" customHeight="1" x14ac:dyDescent="0.2">
      <c r="A264" t="str">
        <f t="shared" si="19"/>
        <v/>
      </c>
      <c r="N264" s="23" t="str">
        <f t="shared" si="20"/>
        <v/>
      </c>
      <c r="O264" s="24" t="str">
        <f t="shared" si="21"/>
        <v/>
      </c>
      <c r="P264" s="25" t="str">
        <f t="shared" si="22"/>
        <v/>
      </c>
      <c r="Q264" t="str">
        <f t="shared" si="23"/>
        <v/>
      </c>
      <c r="AC264" s="23" t="str">
        <f t="shared" si="24"/>
        <v/>
      </c>
    </row>
    <row r="265" spans="1:29" ht="15" customHeight="1" x14ac:dyDescent="0.2">
      <c r="A265" t="str">
        <f t="shared" si="19"/>
        <v/>
      </c>
      <c r="N265" s="23" t="str">
        <f t="shared" si="20"/>
        <v/>
      </c>
      <c r="O265" s="24" t="str">
        <f t="shared" si="21"/>
        <v/>
      </c>
      <c r="P265" s="25" t="str">
        <f t="shared" si="22"/>
        <v/>
      </c>
      <c r="Q265" t="str">
        <f t="shared" si="23"/>
        <v/>
      </c>
      <c r="AC265" s="23" t="str">
        <f t="shared" si="24"/>
        <v/>
      </c>
    </row>
    <row r="266" spans="1:29" ht="15" customHeight="1" x14ac:dyDescent="0.2">
      <c r="A266" t="str">
        <f t="shared" si="19"/>
        <v/>
      </c>
      <c r="N266" s="23" t="str">
        <f t="shared" si="20"/>
        <v/>
      </c>
      <c r="O266" s="24" t="str">
        <f t="shared" si="21"/>
        <v/>
      </c>
      <c r="P266" s="25" t="str">
        <f t="shared" si="22"/>
        <v/>
      </c>
      <c r="Q266" t="str">
        <f t="shared" si="23"/>
        <v/>
      </c>
      <c r="AC266" s="23" t="str">
        <f t="shared" si="24"/>
        <v/>
      </c>
    </row>
    <row r="267" spans="1:29" ht="15" customHeight="1" x14ac:dyDescent="0.2">
      <c r="A267" t="str">
        <f t="shared" si="19"/>
        <v/>
      </c>
      <c r="N267" s="23" t="str">
        <f t="shared" si="20"/>
        <v/>
      </c>
      <c r="O267" s="24" t="str">
        <f t="shared" si="21"/>
        <v/>
      </c>
      <c r="P267" s="25" t="str">
        <f t="shared" si="22"/>
        <v/>
      </c>
      <c r="Q267" t="str">
        <f t="shared" si="23"/>
        <v/>
      </c>
      <c r="AC267" s="23" t="str">
        <f t="shared" si="24"/>
        <v/>
      </c>
    </row>
    <row r="268" spans="1:29" ht="15" customHeight="1" x14ac:dyDescent="0.2">
      <c r="A268" t="str">
        <f t="shared" si="19"/>
        <v/>
      </c>
      <c r="N268" s="23" t="str">
        <f t="shared" si="20"/>
        <v/>
      </c>
      <c r="O268" s="24" t="str">
        <f t="shared" si="21"/>
        <v/>
      </c>
      <c r="P268" s="25" t="str">
        <f t="shared" si="22"/>
        <v/>
      </c>
      <c r="Q268" t="str">
        <f t="shared" si="23"/>
        <v/>
      </c>
      <c r="AC268" s="23" t="str">
        <f t="shared" si="24"/>
        <v/>
      </c>
    </row>
    <row r="269" spans="1:29" ht="15" customHeight="1" x14ac:dyDescent="0.2">
      <c r="A269" t="str">
        <f t="shared" si="19"/>
        <v/>
      </c>
      <c r="N269" s="23" t="str">
        <f t="shared" si="20"/>
        <v/>
      </c>
      <c r="O269" s="24" t="str">
        <f t="shared" si="21"/>
        <v/>
      </c>
      <c r="P269" s="25" t="str">
        <f t="shared" si="22"/>
        <v/>
      </c>
      <c r="Q269" t="str">
        <f t="shared" si="23"/>
        <v/>
      </c>
      <c r="AC269" s="23" t="str">
        <f t="shared" si="24"/>
        <v/>
      </c>
    </row>
    <row r="270" spans="1:29" ht="15" customHeight="1" x14ac:dyDescent="0.2">
      <c r="A270" t="str">
        <f t="shared" ref="A270:A333" si="25">IF(B270="","",ROW()-1)</f>
        <v/>
      </c>
      <c r="N270" s="23" t="str">
        <f t="shared" ref="N270:N333" si="26">IF(OR(K270="",G270="",J270=""),"",IF(E270="LONG",(K270-G270)*J270,(G270-K270)*J270))</f>
        <v/>
      </c>
      <c r="O270" s="24" t="str">
        <f t="shared" ref="O270:O333" si="27">IF(OR(K270="",G270="",G270=0),"",IF(E270="LONG",(K270-G270)/G270,(G270-K270)/G270))</f>
        <v/>
      </c>
      <c r="P270" s="25" t="str">
        <f t="shared" ref="P270:P333" si="28">IF(OR(N270="",H270="",G270="",ABS(G270-H270)=0),"",N270/(ABS(G270-H270)*J270))</f>
        <v/>
      </c>
      <c r="Q270" t="str">
        <f t="shared" ref="Q270:Q333" si="29">IF(N270="","",IF(N270&gt;0,"WIN",IF(N270&lt;0,"LOSS","FLAT")))</f>
        <v/>
      </c>
      <c r="AC270" s="23" t="str">
        <f t="shared" si="24"/>
        <v/>
      </c>
    </row>
    <row r="271" spans="1:29" ht="15" customHeight="1" x14ac:dyDescent="0.2">
      <c r="A271" t="str">
        <f t="shared" si="25"/>
        <v/>
      </c>
      <c r="N271" s="23" t="str">
        <f t="shared" si="26"/>
        <v/>
      </c>
      <c r="O271" s="24" t="str">
        <f t="shared" si="27"/>
        <v/>
      </c>
      <c r="P271" s="25" t="str">
        <f t="shared" si="28"/>
        <v/>
      </c>
      <c r="Q271" t="str">
        <f t="shared" si="29"/>
        <v/>
      </c>
      <c r="AC271" s="23" t="str">
        <f t="shared" si="24"/>
        <v/>
      </c>
    </row>
    <row r="272" spans="1:29" ht="15" customHeight="1" x14ac:dyDescent="0.2">
      <c r="A272" t="str">
        <f t="shared" si="25"/>
        <v/>
      </c>
      <c r="N272" s="23" t="str">
        <f t="shared" si="26"/>
        <v/>
      </c>
      <c r="O272" s="24" t="str">
        <f t="shared" si="27"/>
        <v/>
      </c>
      <c r="P272" s="25" t="str">
        <f t="shared" si="28"/>
        <v/>
      </c>
      <c r="Q272" t="str">
        <f t="shared" si="29"/>
        <v/>
      </c>
      <c r="AC272" s="23" t="str">
        <f t="shared" si="24"/>
        <v/>
      </c>
    </row>
    <row r="273" spans="1:29" ht="15" customHeight="1" x14ac:dyDescent="0.2">
      <c r="A273" t="str">
        <f t="shared" si="25"/>
        <v/>
      </c>
      <c r="N273" s="23" t="str">
        <f t="shared" si="26"/>
        <v/>
      </c>
      <c r="O273" s="24" t="str">
        <f t="shared" si="27"/>
        <v/>
      </c>
      <c r="P273" s="25" t="str">
        <f t="shared" si="28"/>
        <v/>
      </c>
      <c r="Q273" t="str">
        <f t="shared" si="29"/>
        <v/>
      </c>
      <c r="AC273" s="23" t="str">
        <f t="shared" si="24"/>
        <v/>
      </c>
    </row>
    <row r="274" spans="1:29" ht="15" customHeight="1" x14ac:dyDescent="0.2">
      <c r="A274" t="str">
        <f t="shared" si="25"/>
        <v/>
      </c>
      <c r="N274" s="23" t="str">
        <f t="shared" si="26"/>
        <v/>
      </c>
      <c r="O274" s="24" t="str">
        <f t="shared" si="27"/>
        <v/>
      </c>
      <c r="P274" s="25" t="str">
        <f t="shared" si="28"/>
        <v/>
      </c>
      <c r="Q274" t="str">
        <f t="shared" si="29"/>
        <v/>
      </c>
      <c r="AC274" s="23" t="str">
        <f t="shared" si="24"/>
        <v/>
      </c>
    </row>
    <row r="275" spans="1:29" ht="15" customHeight="1" x14ac:dyDescent="0.2">
      <c r="A275" t="str">
        <f t="shared" si="25"/>
        <v/>
      </c>
      <c r="N275" s="23" t="str">
        <f t="shared" si="26"/>
        <v/>
      </c>
      <c r="O275" s="24" t="str">
        <f t="shared" si="27"/>
        <v/>
      </c>
      <c r="P275" s="25" t="str">
        <f t="shared" si="28"/>
        <v/>
      </c>
      <c r="Q275" t="str">
        <f t="shared" si="29"/>
        <v/>
      </c>
      <c r="AC275" s="23" t="str">
        <f t="shared" si="24"/>
        <v/>
      </c>
    </row>
    <row r="276" spans="1:29" ht="15" customHeight="1" x14ac:dyDescent="0.2">
      <c r="A276" t="str">
        <f t="shared" si="25"/>
        <v/>
      </c>
      <c r="N276" s="23" t="str">
        <f t="shared" si="26"/>
        <v/>
      </c>
      <c r="O276" s="24" t="str">
        <f t="shared" si="27"/>
        <v/>
      </c>
      <c r="P276" s="25" t="str">
        <f t="shared" si="28"/>
        <v/>
      </c>
      <c r="Q276" t="str">
        <f t="shared" si="29"/>
        <v/>
      </c>
      <c r="AC276" s="23" t="str">
        <f t="shared" si="24"/>
        <v/>
      </c>
    </row>
    <row r="277" spans="1:29" ht="15" customHeight="1" x14ac:dyDescent="0.2">
      <c r="A277" t="str">
        <f t="shared" si="25"/>
        <v/>
      </c>
      <c r="N277" s="23" t="str">
        <f t="shared" si="26"/>
        <v/>
      </c>
      <c r="O277" s="24" t="str">
        <f t="shared" si="27"/>
        <v/>
      </c>
      <c r="P277" s="25" t="str">
        <f t="shared" si="28"/>
        <v/>
      </c>
      <c r="Q277" t="str">
        <f t="shared" si="29"/>
        <v/>
      </c>
      <c r="AC277" s="23" t="str">
        <f t="shared" si="24"/>
        <v/>
      </c>
    </row>
    <row r="278" spans="1:29" ht="15" customHeight="1" x14ac:dyDescent="0.2">
      <c r="A278" t="str">
        <f t="shared" si="25"/>
        <v/>
      </c>
      <c r="N278" s="23" t="str">
        <f t="shared" si="26"/>
        <v/>
      </c>
      <c r="O278" s="24" t="str">
        <f t="shared" si="27"/>
        <v/>
      </c>
      <c r="P278" s="25" t="str">
        <f t="shared" si="28"/>
        <v/>
      </c>
      <c r="Q278" t="str">
        <f t="shared" si="29"/>
        <v/>
      </c>
      <c r="AC278" s="23" t="str">
        <f t="shared" si="24"/>
        <v/>
      </c>
    </row>
    <row r="279" spans="1:29" ht="15" customHeight="1" x14ac:dyDescent="0.2">
      <c r="A279" t="str">
        <f t="shared" si="25"/>
        <v/>
      </c>
      <c r="N279" s="23" t="str">
        <f t="shared" si="26"/>
        <v/>
      </c>
      <c r="O279" s="24" t="str">
        <f t="shared" si="27"/>
        <v/>
      </c>
      <c r="P279" s="25" t="str">
        <f t="shared" si="28"/>
        <v/>
      </c>
      <c r="Q279" t="str">
        <f t="shared" si="29"/>
        <v/>
      </c>
      <c r="AC279" s="23" t="str">
        <f t="shared" si="24"/>
        <v/>
      </c>
    </row>
    <row r="280" spans="1:29" ht="15" customHeight="1" x14ac:dyDescent="0.2">
      <c r="A280" t="str">
        <f t="shared" si="25"/>
        <v/>
      </c>
      <c r="N280" s="23" t="str">
        <f t="shared" si="26"/>
        <v/>
      </c>
      <c r="O280" s="24" t="str">
        <f t="shared" si="27"/>
        <v/>
      </c>
      <c r="P280" s="25" t="str">
        <f t="shared" si="28"/>
        <v/>
      </c>
      <c r="Q280" t="str">
        <f t="shared" si="29"/>
        <v/>
      </c>
      <c r="AC280" s="23" t="str">
        <f t="shared" si="24"/>
        <v/>
      </c>
    </row>
    <row r="281" spans="1:29" ht="15" customHeight="1" x14ac:dyDescent="0.2">
      <c r="A281" t="str">
        <f t="shared" si="25"/>
        <v/>
      </c>
      <c r="N281" s="23" t="str">
        <f t="shared" si="26"/>
        <v/>
      </c>
      <c r="O281" s="24" t="str">
        <f t="shared" si="27"/>
        <v/>
      </c>
      <c r="P281" s="25" t="str">
        <f t="shared" si="28"/>
        <v/>
      </c>
      <c r="Q281" t="str">
        <f t="shared" si="29"/>
        <v/>
      </c>
      <c r="AC281" s="23" t="str">
        <f t="shared" si="24"/>
        <v/>
      </c>
    </row>
    <row r="282" spans="1:29" ht="15" customHeight="1" x14ac:dyDescent="0.2">
      <c r="A282" t="str">
        <f t="shared" si="25"/>
        <v/>
      </c>
      <c r="N282" s="23" t="str">
        <f t="shared" si="26"/>
        <v/>
      </c>
      <c r="O282" s="24" t="str">
        <f t="shared" si="27"/>
        <v/>
      </c>
      <c r="P282" s="25" t="str">
        <f t="shared" si="28"/>
        <v/>
      </c>
      <c r="Q282" t="str">
        <f t="shared" si="29"/>
        <v/>
      </c>
      <c r="AC282" s="23" t="str">
        <f t="shared" si="24"/>
        <v/>
      </c>
    </row>
    <row r="283" spans="1:29" ht="15" customHeight="1" x14ac:dyDescent="0.2">
      <c r="A283" t="str">
        <f t="shared" si="25"/>
        <v/>
      </c>
      <c r="N283" s="23" t="str">
        <f t="shared" si="26"/>
        <v/>
      </c>
      <c r="O283" s="24" t="str">
        <f t="shared" si="27"/>
        <v/>
      </c>
      <c r="P283" s="25" t="str">
        <f t="shared" si="28"/>
        <v/>
      </c>
      <c r="Q283" t="str">
        <f t="shared" si="29"/>
        <v/>
      </c>
      <c r="AC283" s="23" t="str">
        <f t="shared" si="24"/>
        <v/>
      </c>
    </row>
    <row r="284" spans="1:29" ht="15" customHeight="1" x14ac:dyDescent="0.2">
      <c r="A284" t="str">
        <f t="shared" si="25"/>
        <v/>
      </c>
      <c r="N284" s="23" t="str">
        <f t="shared" si="26"/>
        <v/>
      </c>
      <c r="O284" s="24" t="str">
        <f t="shared" si="27"/>
        <v/>
      </c>
      <c r="P284" s="25" t="str">
        <f t="shared" si="28"/>
        <v/>
      </c>
      <c r="Q284" t="str">
        <f t="shared" si="29"/>
        <v/>
      </c>
      <c r="AC284" s="23" t="str">
        <f t="shared" si="24"/>
        <v/>
      </c>
    </row>
    <row r="285" spans="1:29" ht="15" customHeight="1" x14ac:dyDescent="0.2">
      <c r="A285" t="str">
        <f t="shared" si="25"/>
        <v/>
      </c>
      <c r="N285" s="23" t="str">
        <f t="shared" si="26"/>
        <v/>
      </c>
      <c r="O285" s="24" t="str">
        <f t="shared" si="27"/>
        <v/>
      </c>
      <c r="P285" s="25" t="str">
        <f t="shared" si="28"/>
        <v/>
      </c>
      <c r="Q285" t="str">
        <f t="shared" si="29"/>
        <v/>
      </c>
      <c r="AC285" s="23" t="str">
        <f t="shared" si="24"/>
        <v/>
      </c>
    </row>
    <row r="286" spans="1:29" ht="15" customHeight="1" x14ac:dyDescent="0.2">
      <c r="A286" t="str">
        <f t="shared" si="25"/>
        <v/>
      </c>
      <c r="N286" s="23" t="str">
        <f t="shared" si="26"/>
        <v/>
      </c>
      <c r="O286" s="24" t="str">
        <f t="shared" si="27"/>
        <v/>
      </c>
      <c r="P286" s="25" t="str">
        <f t="shared" si="28"/>
        <v/>
      </c>
      <c r="Q286" t="str">
        <f t="shared" si="29"/>
        <v/>
      </c>
      <c r="AC286" s="23" t="str">
        <f t="shared" si="24"/>
        <v/>
      </c>
    </row>
    <row r="287" spans="1:29" ht="15" customHeight="1" x14ac:dyDescent="0.2">
      <c r="A287" t="str">
        <f t="shared" si="25"/>
        <v/>
      </c>
      <c r="N287" s="23" t="str">
        <f t="shared" si="26"/>
        <v/>
      </c>
      <c r="O287" s="24" t="str">
        <f t="shared" si="27"/>
        <v/>
      </c>
      <c r="P287" s="25" t="str">
        <f t="shared" si="28"/>
        <v/>
      </c>
      <c r="Q287" t="str">
        <f t="shared" si="29"/>
        <v/>
      </c>
      <c r="AC287" s="23" t="str">
        <f t="shared" si="24"/>
        <v/>
      </c>
    </row>
    <row r="288" spans="1:29" ht="15" customHeight="1" x14ac:dyDescent="0.2">
      <c r="A288" t="str">
        <f t="shared" si="25"/>
        <v/>
      </c>
      <c r="N288" s="23" t="str">
        <f t="shared" si="26"/>
        <v/>
      </c>
      <c r="O288" s="24" t="str">
        <f t="shared" si="27"/>
        <v/>
      </c>
      <c r="P288" s="25" t="str">
        <f t="shared" si="28"/>
        <v/>
      </c>
      <c r="Q288" t="str">
        <f t="shared" si="29"/>
        <v/>
      </c>
      <c r="AC288" s="23" t="str">
        <f t="shared" si="24"/>
        <v/>
      </c>
    </row>
    <row r="289" spans="1:29" ht="15" customHeight="1" x14ac:dyDescent="0.2">
      <c r="A289" t="str">
        <f t="shared" si="25"/>
        <v/>
      </c>
      <c r="N289" s="23" t="str">
        <f t="shared" si="26"/>
        <v/>
      </c>
      <c r="O289" s="24" t="str">
        <f t="shared" si="27"/>
        <v/>
      </c>
      <c r="P289" s="25" t="str">
        <f t="shared" si="28"/>
        <v/>
      </c>
      <c r="Q289" t="str">
        <f t="shared" si="29"/>
        <v/>
      </c>
      <c r="AC289" s="23" t="str">
        <f t="shared" si="24"/>
        <v/>
      </c>
    </row>
    <row r="290" spans="1:29" ht="15" customHeight="1" x14ac:dyDescent="0.2">
      <c r="A290" t="str">
        <f t="shared" si="25"/>
        <v/>
      </c>
      <c r="N290" s="23" t="str">
        <f t="shared" si="26"/>
        <v/>
      </c>
      <c r="O290" s="24" t="str">
        <f t="shared" si="27"/>
        <v/>
      </c>
      <c r="P290" s="25" t="str">
        <f t="shared" si="28"/>
        <v/>
      </c>
      <c r="Q290" t="str">
        <f t="shared" si="29"/>
        <v/>
      </c>
      <c r="AC290" s="23" t="str">
        <f t="shared" si="24"/>
        <v/>
      </c>
    </row>
    <row r="291" spans="1:29" ht="15" customHeight="1" x14ac:dyDescent="0.2">
      <c r="A291" t="str">
        <f t="shared" si="25"/>
        <v/>
      </c>
      <c r="N291" s="23" t="str">
        <f t="shared" si="26"/>
        <v/>
      </c>
      <c r="O291" s="24" t="str">
        <f t="shared" si="27"/>
        <v/>
      </c>
      <c r="P291" s="25" t="str">
        <f t="shared" si="28"/>
        <v/>
      </c>
      <c r="Q291" t="str">
        <f t="shared" si="29"/>
        <v/>
      </c>
      <c r="AC291" s="23" t="str">
        <f t="shared" si="24"/>
        <v/>
      </c>
    </row>
    <row r="292" spans="1:29" ht="15" customHeight="1" x14ac:dyDescent="0.2">
      <c r="A292" t="str">
        <f t="shared" si="25"/>
        <v/>
      </c>
      <c r="N292" s="23" t="str">
        <f t="shared" si="26"/>
        <v/>
      </c>
      <c r="O292" s="24" t="str">
        <f t="shared" si="27"/>
        <v/>
      </c>
      <c r="P292" s="25" t="str">
        <f t="shared" si="28"/>
        <v/>
      </c>
      <c r="Q292" t="str">
        <f t="shared" si="29"/>
        <v/>
      </c>
      <c r="AC292" s="23" t="str">
        <f t="shared" si="24"/>
        <v/>
      </c>
    </row>
    <row r="293" spans="1:29" ht="15" customHeight="1" x14ac:dyDescent="0.2">
      <c r="A293" t="str">
        <f t="shared" si="25"/>
        <v/>
      </c>
      <c r="N293" s="23" t="str">
        <f t="shared" si="26"/>
        <v/>
      </c>
      <c r="O293" s="24" t="str">
        <f t="shared" si="27"/>
        <v/>
      </c>
      <c r="P293" s="25" t="str">
        <f t="shared" si="28"/>
        <v/>
      </c>
      <c r="Q293" t="str">
        <f t="shared" si="29"/>
        <v/>
      </c>
      <c r="AC293" s="23" t="str">
        <f t="shared" si="24"/>
        <v/>
      </c>
    </row>
    <row r="294" spans="1:29" ht="15" customHeight="1" x14ac:dyDescent="0.2">
      <c r="A294" t="str">
        <f t="shared" si="25"/>
        <v/>
      </c>
      <c r="N294" s="23" t="str">
        <f t="shared" si="26"/>
        <v/>
      </c>
      <c r="O294" s="24" t="str">
        <f t="shared" si="27"/>
        <v/>
      </c>
      <c r="P294" s="25" t="str">
        <f t="shared" si="28"/>
        <v/>
      </c>
      <c r="Q294" t="str">
        <f t="shared" si="29"/>
        <v/>
      </c>
      <c r="AC294" s="23" t="str">
        <f t="shared" si="24"/>
        <v/>
      </c>
    </row>
    <row r="295" spans="1:29" ht="15" customHeight="1" x14ac:dyDescent="0.2">
      <c r="A295" t="str">
        <f t="shared" si="25"/>
        <v/>
      </c>
      <c r="N295" s="23" t="str">
        <f t="shared" si="26"/>
        <v/>
      </c>
      <c r="O295" s="24" t="str">
        <f t="shared" si="27"/>
        <v/>
      </c>
      <c r="P295" s="25" t="str">
        <f t="shared" si="28"/>
        <v/>
      </c>
      <c r="Q295" t="str">
        <f t="shared" si="29"/>
        <v/>
      </c>
      <c r="AC295" s="23" t="str">
        <f t="shared" si="24"/>
        <v/>
      </c>
    </row>
    <row r="296" spans="1:29" ht="15" customHeight="1" x14ac:dyDescent="0.2">
      <c r="A296" t="str">
        <f t="shared" si="25"/>
        <v/>
      </c>
      <c r="N296" s="23" t="str">
        <f t="shared" si="26"/>
        <v/>
      </c>
      <c r="O296" s="24" t="str">
        <f t="shared" si="27"/>
        <v/>
      </c>
      <c r="P296" s="25" t="str">
        <f t="shared" si="28"/>
        <v/>
      </c>
      <c r="Q296" t="str">
        <f t="shared" si="29"/>
        <v/>
      </c>
      <c r="AC296" s="23" t="str">
        <f t="shared" si="24"/>
        <v/>
      </c>
    </row>
    <row r="297" spans="1:29" ht="15" customHeight="1" x14ac:dyDescent="0.2">
      <c r="A297" t="str">
        <f t="shared" si="25"/>
        <v/>
      </c>
      <c r="N297" s="23" t="str">
        <f t="shared" si="26"/>
        <v/>
      </c>
      <c r="O297" s="24" t="str">
        <f t="shared" si="27"/>
        <v/>
      </c>
      <c r="P297" s="25" t="str">
        <f t="shared" si="28"/>
        <v/>
      </c>
      <c r="Q297" t="str">
        <f t="shared" si="29"/>
        <v/>
      </c>
      <c r="AC297" s="23" t="str">
        <f t="shared" si="24"/>
        <v/>
      </c>
    </row>
    <row r="298" spans="1:29" ht="15" customHeight="1" x14ac:dyDescent="0.2">
      <c r="A298" t="str">
        <f t="shared" si="25"/>
        <v/>
      </c>
      <c r="N298" s="23" t="str">
        <f t="shared" si="26"/>
        <v/>
      </c>
      <c r="O298" s="24" t="str">
        <f t="shared" si="27"/>
        <v/>
      </c>
      <c r="P298" s="25" t="str">
        <f t="shared" si="28"/>
        <v/>
      </c>
      <c r="Q298" t="str">
        <f t="shared" si="29"/>
        <v/>
      </c>
      <c r="AC298" s="23" t="str">
        <f t="shared" si="24"/>
        <v/>
      </c>
    </row>
    <row r="299" spans="1:29" ht="15" customHeight="1" x14ac:dyDescent="0.2">
      <c r="A299" t="str">
        <f t="shared" si="25"/>
        <v/>
      </c>
      <c r="N299" s="23" t="str">
        <f t="shared" si="26"/>
        <v/>
      </c>
      <c r="O299" s="24" t="str">
        <f t="shared" si="27"/>
        <v/>
      </c>
      <c r="P299" s="25" t="str">
        <f t="shared" si="28"/>
        <v/>
      </c>
      <c r="Q299" t="str">
        <f t="shared" si="29"/>
        <v/>
      </c>
      <c r="AC299" s="23" t="str">
        <f t="shared" si="24"/>
        <v/>
      </c>
    </row>
    <row r="300" spans="1:29" ht="15" customHeight="1" x14ac:dyDescent="0.2">
      <c r="A300" t="str">
        <f t="shared" si="25"/>
        <v/>
      </c>
      <c r="N300" s="23" t="str">
        <f t="shared" si="26"/>
        <v/>
      </c>
      <c r="O300" s="24" t="str">
        <f t="shared" si="27"/>
        <v/>
      </c>
      <c r="P300" s="25" t="str">
        <f t="shared" si="28"/>
        <v/>
      </c>
      <c r="Q300" t="str">
        <f t="shared" si="29"/>
        <v/>
      </c>
      <c r="AC300" s="23" t="str">
        <f t="shared" si="24"/>
        <v/>
      </c>
    </row>
    <row r="301" spans="1:29" ht="15" customHeight="1" x14ac:dyDescent="0.2">
      <c r="A301" t="str">
        <f t="shared" si="25"/>
        <v/>
      </c>
      <c r="N301" s="23" t="str">
        <f t="shared" si="26"/>
        <v/>
      </c>
      <c r="O301" s="24" t="str">
        <f t="shared" si="27"/>
        <v/>
      </c>
      <c r="P301" s="25" t="str">
        <f t="shared" si="28"/>
        <v/>
      </c>
      <c r="Q301" t="str">
        <f t="shared" si="29"/>
        <v/>
      </c>
      <c r="AC301" s="23" t="str">
        <f t="shared" si="24"/>
        <v/>
      </c>
    </row>
    <row r="302" spans="1:29" ht="15" customHeight="1" x14ac:dyDescent="0.2">
      <c r="A302" t="str">
        <f t="shared" si="25"/>
        <v/>
      </c>
      <c r="N302" s="23" t="str">
        <f t="shared" si="26"/>
        <v/>
      </c>
      <c r="O302" s="24" t="str">
        <f t="shared" si="27"/>
        <v/>
      </c>
      <c r="P302" s="25" t="str">
        <f t="shared" si="28"/>
        <v/>
      </c>
      <c r="Q302" t="str">
        <f t="shared" si="29"/>
        <v/>
      </c>
      <c r="AC302" s="23" t="str">
        <f t="shared" si="24"/>
        <v/>
      </c>
    </row>
    <row r="303" spans="1:29" ht="15" customHeight="1" x14ac:dyDescent="0.2">
      <c r="A303" t="str">
        <f t="shared" si="25"/>
        <v/>
      </c>
      <c r="N303" s="23" t="str">
        <f t="shared" si="26"/>
        <v/>
      </c>
      <c r="O303" s="24" t="str">
        <f t="shared" si="27"/>
        <v/>
      </c>
      <c r="P303" s="25" t="str">
        <f t="shared" si="28"/>
        <v/>
      </c>
      <c r="Q303" t="str">
        <f t="shared" si="29"/>
        <v/>
      </c>
      <c r="AC303" s="23" t="str">
        <f t="shared" si="24"/>
        <v/>
      </c>
    </row>
    <row r="304" spans="1:29" ht="15" customHeight="1" x14ac:dyDescent="0.2">
      <c r="A304" t="str">
        <f t="shared" si="25"/>
        <v/>
      </c>
      <c r="N304" s="23" t="str">
        <f t="shared" si="26"/>
        <v/>
      </c>
      <c r="O304" s="24" t="str">
        <f t="shared" si="27"/>
        <v/>
      </c>
      <c r="P304" s="25" t="str">
        <f t="shared" si="28"/>
        <v/>
      </c>
      <c r="Q304" t="str">
        <f t="shared" si="29"/>
        <v/>
      </c>
      <c r="AC304" s="23" t="str">
        <f t="shared" si="24"/>
        <v/>
      </c>
    </row>
    <row r="305" spans="1:29" ht="15" customHeight="1" x14ac:dyDescent="0.2">
      <c r="A305" t="str">
        <f t="shared" si="25"/>
        <v/>
      </c>
      <c r="N305" s="23" t="str">
        <f t="shared" si="26"/>
        <v/>
      </c>
      <c r="O305" s="24" t="str">
        <f t="shared" si="27"/>
        <v/>
      </c>
      <c r="P305" s="25" t="str">
        <f t="shared" si="28"/>
        <v/>
      </c>
      <c r="Q305" t="str">
        <f t="shared" si="29"/>
        <v/>
      </c>
      <c r="AC305" s="23" t="str">
        <f t="shared" si="24"/>
        <v/>
      </c>
    </row>
    <row r="306" spans="1:29" ht="15" customHeight="1" x14ac:dyDescent="0.2">
      <c r="A306" t="str">
        <f t="shared" si="25"/>
        <v/>
      </c>
      <c r="N306" s="23" t="str">
        <f t="shared" si="26"/>
        <v/>
      </c>
      <c r="O306" s="24" t="str">
        <f t="shared" si="27"/>
        <v/>
      </c>
      <c r="P306" s="25" t="str">
        <f t="shared" si="28"/>
        <v/>
      </c>
      <c r="Q306" t="str">
        <f t="shared" si="29"/>
        <v/>
      </c>
      <c r="AC306" s="23" t="str">
        <f t="shared" si="24"/>
        <v/>
      </c>
    </row>
    <row r="307" spans="1:29" ht="15" customHeight="1" x14ac:dyDescent="0.2">
      <c r="A307" t="str">
        <f t="shared" si="25"/>
        <v/>
      </c>
      <c r="N307" s="23" t="str">
        <f t="shared" si="26"/>
        <v/>
      </c>
      <c r="O307" s="24" t="str">
        <f t="shared" si="27"/>
        <v/>
      </c>
      <c r="P307" s="25" t="str">
        <f t="shared" si="28"/>
        <v/>
      </c>
      <c r="Q307" t="str">
        <f t="shared" si="29"/>
        <v/>
      </c>
      <c r="AC307" s="23" t="str">
        <f t="shared" si="24"/>
        <v/>
      </c>
    </row>
    <row r="308" spans="1:29" ht="15" customHeight="1" x14ac:dyDescent="0.2">
      <c r="A308" t="str">
        <f t="shared" si="25"/>
        <v/>
      </c>
      <c r="N308" s="23" t="str">
        <f t="shared" si="26"/>
        <v/>
      </c>
      <c r="O308" s="24" t="str">
        <f t="shared" si="27"/>
        <v/>
      </c>
      <c r="P308" s="25" t="str">
        <f t="shared" si="28"/>
        <v/>
      </c>
      <c r="Q308" t="str">
        <f t="shared" si="29"/>
        <v/>
      </c>
      <c r="AC308" s="23" t="str">
        <f t="shared" si="24"/>
        <v/>
      </c>
    </row>
    <row r="309" spans="1:29" ht="15" customHeight="1" x14ac:dyDescent="0.2">
      <c r="A309" t="str">
        <f t="shared" si="25"/>
        <v/>
      </c>
      <c r="N309" s="23" t="str">
        <f t="shared" si="26"/>
        <v/>
      </c>
      <c r="O309" s="24" t="str">
        <f t="shared" si="27"/>
        <v/>
      </c>
      <c r="P309" s="25" t="str">
        <f t="shared" si="28"/>
        <v/>
      </c>
      <c r="Q309" t="str">
        <f t="shared" si="29"/>
        <v/>
      </c>
      <c r="AC309" s="23" t="str">
        <f t="shared" si="24"/>
        <v/>
      </c>
    </row>
    <row r="310" spans="1:29" ht="15" customHeight="1" x14ac:dyDescent="0.2">
      <c r="A310" t="str">
        <f t="shared" si="25"/>
        <v/>
      </c>
      <c r="N310" s="23" t="str">
        <f t="shared" si="26"/>
        <v/>
      </c>
      <c r="O310" s="24" t="str">
        <f t="shared" si="27"/>
        <v/>
      </c>
      <c r="P310" s="25" t="str">
        <f t="shared" si="28"/>
        <v/>
      </c>
      <c r="Q310" t="str">
        <f t="shared" si="29"/>
        <v/>
      </c>
      <c r="AC310" s="23" t="str">
        <f t="shared" si="24"/>
        <v/>
      </c>
    </row>
    <row r="311" spans="1:29" ht="15" customHeight="1" x14ac:dyDescent="0.2">
      <c r="A311" t="str">
        <f t="shared" si="25"/>
        <v/>
      </c>
      <c r="N311" s="23" t="str">
        <f t="shared" si="26"/>
        <v/>
      </c>
      <c r="O311" s="24" t="str">
        <f t="shared" si="27"/>
        <v/>
      </c>
      <c r="P311" s="25" t="str">
        <f t="shared" si="28"/>
        <v/>
      </c>
      <c r="Q311" t="str">
        <f t="shared" si="29"/>
        <v/>
      </c>
      <c r="AC311" s="23" t="str">
        <f t="shared" si="24"/>
        <v/>
      </c>
    </row>
    <row r="312" spans="1:29" ht="15" customHeight="1" x14ac:dyDescent="0.2">
      <c r="A312" t="str">
        <f t="shared" si="25"/>
        <v/>
      </c>
      <c r="N312" s="23" t="str">
        <f t="shared" si="26"/>
        <v/>
      </c>
      <c r="O312" s="24" t="str">
        <f t="shared" si="27"/>
        <v/>
      </c>
      <c r="P312" s="25" t="str">
        <f t="shared" si="28"/>
        <v/>
      </c>
      <c r="Q312" t="str">
        <f t="shared" si="29"/>
        <v/>
      </c>
      <c r="AC312" s="23" t="str">
        <f t="shared" si="24"/>
        <v/>
      </c>
    </row>
    <row r="313" spans="1:29" ht="15" customHeight="1" x14ac:dyDescent="0.2">
      <c r="A313" t="str">
        <f t="shared" si="25"/>
        <v/>
      </c>
      <c r="N313" s="23" t="str">
        <f t="shared" si="26"/>
        <v/>
      </c>
      <c r="O313" s="24" t="str">
        <f t="shared" si="27"/>
        <v/>
      </c>
      <c r="P313" s="25" t="str">
        <f t="shared" si="28"/>
        <v/>
      </c>
      <c r="Q313" t="str">
        <f t="shared" si="29"/>
        <v/>
      </c>
      <c r="AC313" s="23" t="str">
        <f t="shared" si="24"/>
        <v/>
      </c>
    </row>
    <row r="314" spans="1:29" ht="15" customHeight="1" x14ac:dyDescent="0.2">
      <c r="A314" t="str">
        <f t="shared" si="25"/>
        <v/>
      </c>
      <c r="N314" s="23" t="str">
        <f t="shared" si="26"/>
        <v/>
      </c>
      <c r="O314" s="24" t="str">
        <f t="shared" si="27"/>
        <v/>
      </c>
      <c r="P314" s="25" t="str">
        <f t="shared" si="28"/>
        <v/>
      </c>
      <c r="Q314" t="str">
        <f t="shared" si="29"/>
        <v/>
      </c>
      <c r="AC314" s="23" t="str">
        <f t="shared" si="24"/>
        <v/>
      </c>
    </row>
    <row r="315" spans="1:29" ht="15" customHeight="1" x14ac:dyDescent="0.2">
      <c r="A315" t="str">
        <f t="shared" si="25"/>
        <v/>
      </c>
      <c r="N315" s="23" t="str">
        <f t="shared" si="26"/>
        <v/>
      </c>
      <c r="O315" s="24" t="str">
        <f t="shared" si="27"/>
        <v/>
      </c>
      <c r="P315" s="25" t="str">
        <f t="shared" si="28"/>
        <v/>
      </c>
      <c r="Q315" t="str">
        <f t="shared" si="29"/>
        <v/>
      </c>
      <c r="AC315" s="23" t="str">
        <f t="shared" si="24"/>
        <v/>
      </c>
    </row>
    <row r="316" spans="1:29" ht="15" customHeight="1" x14ac:dyDescent="0.2">
      <c r="A316" t="str">
        <f t="shared" si="25"/>
        <v/>
      </c>
      <c r="N316" s="23" t="str">
        <f t="shared" si="26"/>
        <v/>
      </c>
      <c r="O316" s="24" t="str">
        <f t="shared" si="27"/>
        <v/>
      </c>
      <c r="P316" s="25" t="str">
        <f t="shared" si="28"/>
        <v/>
      </c>
      <c r="Q316" t="str">
        <f t="shared" si="29"/>
        <v/>
      </c>
      <c r="AC316" s="23" t="str">
        <f t="shared" si="24"/>
        <v/>
      </c>
    </row>
    <row r="317" spans="1:29" ht="15" customHeight="1" x14ac:dyDescent="0.2">
      <c r="A317" t="str">
        <f t="shared" si="25"/>
        <v/>
      </c>
      <c r="N317" s="23" t="str">
        <f t="shared" si="26"/>
        <v/>
      </c>
      <c r="O317" s="24" t="str">
        <f t="shared" si="27"/>
        <v/>
      </c>
      <c r="P317" s="25" t="str">
        <f t="shared" si="28"/>
        <v/>
      </c>
      <c r="Q317" t="str">
        <f t="shared" si="29"/>
        <v/>
      </c>
      <c r="AC317" s="23" t="str">
        <f t="shared" si="24"/>
        <v/>
      </c>
    </row>
    <row r="318" spans="1:29" ht="15" customHeight="1" x14ac:dyDescent="0.2">
      <c r="A318" t="str">
        <f t="shared" si="25"/>
        <v/>
      </c>
      <c r="N318" s="23" t="str">
        <f t="shared" si="26"/>
        <v/>
      </c>
      <c r="O318" s="24" t="str">
        <f t="shared" si="27"/>
        <v/>
      </c>
      <c r="P318" s="25" t="str">
        <f t="shared" si="28"/>
        <v/>
      </c>
      <c r="Q318" t="str">
        <f t="shared" si="29"/>
        <v/>
      </c>
      <c r="AC318" s="23" t="str">
        <f t="shared" si="24"/>
        <v/>
      </c>
    </row>
    <row r="319" spans="1:29" ht="15" customHeight="1" x14ac:dyDescent="0.2">
      <c r="A319" t="str">
        <f t="shared" si="25"/>
        <v/>
      </c>
      <c r="N319" s="23" t="str">
        <f t="shared" si="26"/>
        <v/>
      </c>
      <c r="O319" s="24" t="str">
        <f t="shared" si="27"/>
        <v/>
      </c>
      <c r="P319" s="25" t="str">
        <f t="shared" si="28"/>
        <v/>
      </c>
      <c r="Q319" t="str">
        <f t="shared" si="29"/>
        <v/>
      </c>
      <c r="AC319" s="23" t="str">
        <f t="shared" si="24"/>
        <v/>
      </c>
    </row>
    <row r="320" spans="1:29" ht="15" customHeight="1" x14ac:dyDescent="0.2">
      <c r="A320" t="str">
        <f t="shared" si="25"/>
        <v/>
      </c>
      <c r="N320" s="23" t="str">
        <f t="shared" si="26"/>
        <v/>
      </c>
      <c r="O320" s="24" t="str">
        <f t="shared" si="27"/>
        <v/>
      </c>
      <c r="P320" s="25" t="str">
        <f t="shared" si="28"/>
        <v/>
      </c>
      <c r="Q320" t="str">
        <f t="shared" si="29"/>
        <v/>
      </c>
      <c r="AC320" s="23" t="str">
        <f t="shared" si="24"/>
        <v/>
      </c>
    </row>
    <row r="321" spans="1:29" ht="15" customHeight="1" x14ac:dyDescent="0.2">
      <c r="A321" t="str">
        <f t="shared" si="25"/>
        <v/>
      </c>
      <c r="N321" s="23" t="str">
        <f t="shared" si="26"/>
        <v/>
      </c>
      <c r="O321" s="24" t="str">
        <f t="shared" si="27"/>
        <v/>
      </c>
      <c r="P321" s="25" t="str">
        <f t="shared" si="28"/>
        <v/>
      </c>
      <c r="Q321" t="str">
        <f t="shared" si="29"/>
        <v/>
      </c>
      <c r="AC321" s="23" t="str">
        <f t="shared" si="24"/>
        <v/>
      </c>
    </row>
    <row r="322" spans="1:29" ht="15" customHeight="1" x14ac:dyDescent="0.2">
      <c r="A322" t="str">
        <f t="shared" si="25"/>
        <v/>
      </c>
      <c r="N322" s="23" t="str">
        <f t="shared" si="26"/>
        <v/>
      </c>
      <c r="O322" s="24" t="str">
        <f t="shared" si="27"/>
        <v/>
      </c>
      <c r="P322" s="25" t="str">
        <f t="shared" si="28"/>
        <v/>
      </c>
      <c r="Q322" t="str">
        <f t="shared" si="29"/>
        <v/>
      </c>
      <c r="AC322" s="23" t="str">
        <f t="shared" ref="AC322:AC385" si="30">IF(N322="","",N322-IF(Z322="",0,Z322))</f>
        <v/>
      </c>
    </row>
    <row r="323" spans="1:29" ht="15" customHeight="1" x14ac:dyDescent="0.2">
      <c r="A323" t="str">
        <f t="shared" si="25"/>
        <v/>
      </c>
      <c r="N323" s="23" t="str">
        <f t="shared" si="26"/>
        <v/>
      </c>
      <c r="O323" s="24" t="str">
        <f t="shared" si="27"/>
        <v/>
      </c>
      <c r="P323" s="25" t="str">
        <f t="shared" si="28"/>
        <v/>
      </c>
      <c r="Q323" t="str">
        <f t="shared" si="29"/>
        <v/>
      </c>
      <c r="AC323" s="23" t="str">
        <f t="shared" si="30"/>
        <v/>
      </c>
    </row>
    <row r="324" spans="1:29" ht="15" customHeight="1" x14ac:dyDescent="0.2">
      <c r="A324" t="str">
        <f t="shared" si="25"/>
        <v/>
      </c>
      <c r="N324" s="23" t="str">
        <f t="shared" si="26"/>
        <v/>
      </c>
      <c r="O324" s="24" t="str">
        <f t="shared" si="27"/>
        <v/>
      </c>
      <c r="P324" s="25" t="str">
        <f t="shared" si="28"/>
        <v/>
      </c>
      <c r="Q324" t="str">
        <f t="shared" si="29"/>
        <v/>
      </c>
      <c r="AC324" s="23" t="str">
        <f t="shared" si="30"/>
        <v/>
      </c>
    </row>
    <row r="325" spans="1:29" ht="15" customHeight="1" x14ac:dyDescent="0.2">
      <c r="A325" t="str">
        <f t="shared" si="25"/>
        <v/>
      </c>
      <c r="N325" s="23" t="str">
        <f t="shared" si="26"/>
        <v/>
      </c>
      <c r="O325" s="24" t="str">
        <f t="shared" si="27"/>
        <v/>
      </c>
      <c r="P325" s="25" t="str">
        <f t="shared" si="28"/>
        <v/>
      </c>
      <c r="Q325" t="str">
        <f t="shared" si="29"/>
        <v/>
      </c>
      <c r="AC325" s="23" t="str">
        <f t="shared" si="30"/>
        <v/>
      </c>
    </row>
    <row r="326" spans="1:29" ht="15" customHeight="1" x14ac:dyDescent="0.2">
      <c r="A326" t="str">
        <f t="shared" si="25"/>
        <v/>
      </c>
      <c r="N326" s="23" t="str">
        <f t="shared" si="26"/>
        <v/>
      </c>
      <c r="O326" s="24" t="str">
        <f t="shared" si="27"/>
        <v/>
      </c>
      <c r="P326" s="25" t="str">
        <f t="shared" si="28"/>
        <v/>
      </c>
      <c r="Q326" t="str">
        <f t="shared" si="29"/>
        <v/>
      </c>
      <c r="AC326" s="23" t="str">
        <f t="shared" si="30"/>
        <v/>
      </c>
    </row>
    <row r="327" spans="1:29" ht="15" customHeight="1" x14ac:dyDescent="0.2">
      <c r="A327" t="str">
        <f t="shared" si="25"/>
        <v/>
      </c>
      <c r="N327" s="23" t="str">
        <f t="shared" si="26"/>
        <v/>
      </c>
      <c r="O327" s="24" t="str">
        <f t="shared" si="27"/>
        <v/>
      </c>
      <c r="P327" s="25" t="str">
        <f t="shared" si="28"/>
        <v/>
      </c>
      <c r="Q327" t="str">
        <f t="shared" si="29"/>
        <v/>
      </c>
      <c r="AC327" s="23" t="str">
        <f t="shared" si="30"/>
        <v/>
      </c>
    </row>
    <row r="328" spans="1:29" ht="15" customHeight="1" x14ac:dyDescent="0.2">
      <c r="A328" t="str">
        <f t="shared" si="25"/>
        <v/>
      </c>
      <c r="N328" s="23" t="str">
        <f t="shared" si="26"/>
        <v/>
      </c>
      <c r="O328" s="24" t="str">
        <f t="shared" si="27"/>
        <v/>
      </c>
      <c r="P328" s="25" t="str">
        <f t="shared" si="28"/>
        <v/>
      </c>
      <c r="Q328" t="str">
        <f t="shared" si="29"/>
        <v/>
      </c>
      <c r="AC328" s="23" t="str">
        <f t="shared" si="30"/>
        <v/>
      </c>
    </row>
    <row r="329" spans="1:29" ht="15" customHeight="1" x14ac:dyDescent="0.2">
      <c r="A329" t="str">
        <f t="shared" si="25"/>
        <v/>
      </c>
      <c r="N329" s="23" t="str">
        <f t="shared" si="26"/>
        <v/>
      </c>
      <c r="O329" s="24" t="str">
        <f t="shared" si="27"/>
        <v/>
      </c>
      <c r="P329" s="25" t="str">
        <f t="shared" si="28"/>
        <v/>
      </c>
      <c r="Q329" t="str">
        <f t="shared" si="29"/>
        <v/>
      </c>
      <c r="AC329" s="23" t="str">
        <f t="shared" si="30"/>
        <v/>
      </c>
    </row>
    <row r="330" spans="1:29" ht="15" customHeight="1" x14ac:dyDescent="0.2">
      <c r="A330" t="str">
        <f t="shared" si="25"/>
        <v/>
      </c>
      <c r="N330" s="23" t="str">
        <f t="shared" si="26"/>
        <v/>
      </c>
      <c r="O330" s="24" t="str">
        <f t="shared" si="27"/>
        <v/>
      </c>
      <c r="P330" s="25" t="str">
        <f t="shared" si="28"/>
        <v/>
      </c>
      <c r="Q330" t="str">
        <f t="shared" si="29"/>
        <v/>
      </c>
      <c r="AC330" s="23" t="str">
        <f t="shared" si="30"/>
        <v/>
      </c>
    </row>
    <row r="331" spans="1:29" ht="15" customHeight="1" x14ac:dyDescent="0.2">
      <c r="A331" t="str">
        <f t="shared" si="25"/>
        <v/>
      </c>
      <c r="N331" s="23" t="str">
        <f t="shared" si="26"/>
        <v/>
      </c>
      <c r="O331" s="24" t="str">
        <f t="shared" si="27"/>
        <v/>
      </c>
      <c r="P331" s="25" t="str">
        <f t="shared" si="28"/>
        <v/>
      </c>
      <c r="Q331" t="str">
        <f t="shared" si="29"/>
        <v/>
      </c>
      <c r="AC331" s="23" t="str">
        <f t="shared" si="30"/>
        <v/>
      </c>
    </row>
    <row r="332" spans="1:29" ht="15" customHeight="1" x14ac:dyDescent="0.2">
      <c r="A332" t="str">
        <f t="shared" si="25"/>
        <v/>
      </c>
      <c r="N332" s="23" t="str">
        <f t="shared" si="26"/>
        <v/>
      </c>
      <c r="O332" s="24" t="str">
        <f t="shared" si="27"/>
        <v/>
      </c>
      <c r="P332" s="25" t="str">
        <f t="shared" si="28"/>
        <v/>
      </c>
      <c r="Q332" t="str">
        <f t="shared" si="29"/>
        <v/>
      </c>
      <c r="AC332" s="23" t="str">
        <f t="shared" si="30"/>
        <v/>
      </c>
    </row>
    <row r="333" spans="1:29" ht="15" customHeight="1" x14ac:dyDescent="0.2">
      <c r="A333" t="str">
        <f t="shared" si="25"/>
        <v/>
      </c>
      <c r="N333" s="23" t="str">
        <f t="shared" si="26"/>
        <v/>
      </c>
      <c r="O333" s="24" t="str">
        <f t="shared" si="27"/>
        <v/>
      </c>
      <c r="P333" s="25" t="str">
        <f t="shared" si="28"/>
        <v/>
      </c>
      <c r="Q333" t="str">
        <f t="shared" si="29"/>
        <v/>
      </c>
      <c r="AC333" s="23" t="str">
        <f t="shared" si="30"/>
        <v/>
      </c>
    </row>
    <row r="334" spans="1:29" ht="15" customHeight="1" x14ac:dyDescent="0.2">
      <c r="A334" t="str">
        <f t="shared" ref="A334:A397" si="31">IF(B334="","",ROW()-1)</f>
        <v/>
      </c>
      <c r="N334" s="23" t="str">
        <f t="shared" ref="N334:N397" si="32">IF(OR(K334="",G334="",J334=""),"",IF(E334="LONG",(K334-G334)*J334,(G334-K334)*J334))</f>
        <v/>
      </c>
      <c r="O334" s="24" t="str">
        <f t="shared" ref="O334:O397" si="33">IF(OR(K334="",G334="",G334=0),"",IF(E334="LONG",(K334-G334)/G334,(G334-K334)/G334))</f>
        <v/>
      </c>
      <c r="P334" s="25" t="str">
        <f t="shared" ref="P334:P397" si="34">IF(OR(N334="",H334="",G334="",ABS(G334-H334)=0),"",N334/(ABS(G334-H334)*J334))</f>
        <v/>
      </c>
      <c r="Q334" t="str">
        <f t="shared" ref="Q334:Q397" si="35">IF(N334="","",IF(N334&gt;0,"WIN",IF(N334&lt;0,"LOSS","FLAT")))</f>
        <v/>
      </c>
      <c r="AC334" s="23" t="str">
        <f t="shared" si="30"/>
        <v/>
      </c>
    </row>
    <row r="335" spans="1:29" ht="15" customHeight="1" x14ac:dyDescent="0.2">
      <c r="A335" t="str">
        <f t="shared" si="31"/>
        <v/>
      </c>
      <c r="N335" s="23" t="str">
        <f t="shared" si="32"/>
        <v/>
      </c>
      <c r="O335" s="24" t="str">
        <f t="shared" si="33"/>
        <v/>
      </c>
      <c r="P335" s="25" t="str">
        <f t="shared" si="34"/>
        <v/>
      </c>
      <c r="Q335" t="str">
        <f t="shared" si="35"/>
        <v/>
      </c>
      <c r="AC335" s="23" t="str">
        <f t="shared" si="30"/>
        <v/>
      </c>
    </row>
    <row r="336" spans="1:29" ht="15" customHeight="1" x14ac:dyDescent="0.2">
      <c r="A336" t="str">
        <f t="shared" si="31"/>
        <v/>
      </c>
      <c r="N336" s="23" t="str">
        <f t="shared" si="32"/>
        <v/>
      </c>
      <c r="O336" s="24" t="str">
        <f t="shared" si="33"/>
        <v/>
      </c>
      <c r="P336" s="25" t="str">
        <f t="shared" si="34"/>
        <v/>
      </c>
      <c r="Q336" t="str">
        <f t="shared" si="35"/>
        <v/>
      </c>
      <c r="AC336" s="23" t="str">
        <f t="shared" si="30"/>
        <v/>
      </c>
    </row>
    <row r="337" spans="1:29" ht="15" customHeight="1" x14ac:dyDescent="0.2">
      <c r="A337" t="str">
        <f t="shared" si="31"/>
        <v/>
      </c>
      <c r="N337" s="23" t="str">
        <f t="shared" si="32"/>
        <v/>
      </c>
      <c r="O337" s="24" t="str">
        <f t="shared" si="33"/>
        <v/>
      </c>
      <c r="P337" s="25" t="str">
        <f t="shared" si="34"/>
        <v/>
      </c>
      <c r="Q337" t="str">
        <f t="shared" si="35"/>
        <v/>
      </c>
      <c r="AC337" s="23" t="str">
        <f t="shared" si="30"/>
        <v/>
      </c>
    </row>
    <row r="338" spans="1:29" ht="15" customHeight="1" x14ac:dyDescent="0.2">
      <c r="A338" t="str">
        <f t="shared" si="31"/>
        <v/>
      </c>
      <c r="N338" s="23" t="str">
        <f t="shared" si="32"/>
        <v/>
      </c>
      <c r="O338" s="24" t="str">
        <f t="shared" si="33"/>
        <v/>
      </c>
      <c r="P338" s="25" t="str">
        <f t="shared" si="34"/>
        <v/>
      </c>
      <c r="Q338" t="str">
        <f t="shared" si="35"/>
        <v/>
      </c>
      <c r="AC338" s="23" t="str">
        <f t="shared" si="30"/>
        <v/>
      </c>
    </row>
    <row r="339" spans="1:29" ht="15" customHeight="1" x14ac:dyDescent="0.2">
      <c r="A339" t="str">
        <f t="shared" si="31"/>
        <v/>
      </c>
      <c r="N339" s="23" t="str">
        <f t="shared" si="32"/>
        <v/>
      </c>
      <c r="O339" s="24" t="str">
        <f t="shared" si="33"/>
        <v/>
      </c>
      <c r="P339" s="25" t="str">
        <f t="shared" si="34"/>
        <v/>
      </c>
      <c r="Q339" t="str">
        <f t="shared" si="35"/>
        <v/>
      </c>
      <c r="AC339" s="23" t="str">
        <f t="shared" si="30"/>
        <v/>
      </c>
    </row>
    <row r="340" spans="1:29" ht="15" customHeight="1" x14ac:dyDescent="0.2">
      <c r="A340" t="str">
        <f t="shared" si="31"/>
        <v/>
      </c>
      <c r="N340" s="23" t="str">
        <f t="shared" si="32"/>
        <v/>
      </c>
      <c r="O340" s="24" t="str">
        <f t="shared" si="33"/>
        <v/>
      </c>
      <c r="P340" s="25" t="str">
        <f t="shared" si="34"/>
        <v/>
      </c>
      <c r="Q340" t="str">
        <f t="shared" si="35"/>
        <v/>
      </c>
      <c r="AC340" s="23" t="str">
        <f t="shared" si="30"/>
        <v/>
      </c>
    </row>
    <row r="341" spans="1:29" ht="15" customHeight="1" x14ac:dyDescent="0.2">
      <c r="A341" t="str">
        <f t="shared" si="31"/>
        <v/>
      </c>
      <c r="N341" s="23" t="str">
        <f t="shared" si="32"/>
        <v/>
      </c>
      <c r="O341" s="24" t="str">
        <f t="shared" si="33"/>
        <v/>
      </c>
      <c r="P341" s="25" t="str">
        <f t="shared" si="34"/>
        <v/>
      </c>
      <c r="Q341" t="str">
        <f t="shared" si="35"/>
        <v/>
      </c>
      <c r="AC341" s="23" t="str">
        <f t="shared" si="30"/>
        <v/>
      </c>
    </row>
    <row r="342" spans="1:29" ht="15" customHeight="1" x14ac:dyDescent="0.2">
      <c r="A342" t="str">
        <f t="shared" si="31"/>
        <v/>
      </c>
      <c r="N342" s="23" t="str">
        <f t="shared" si="32"/>
        <v/>
      </c>
      <c r="O342" s="24" t="str">
        <f t="shared" si="33"/>
        <v/>
      </c>
      <c r="P342" s="25" t="str">
        <f t="shared" si="34"/>
        <v/>
      </c>
      <c r="Q342" t="str">
        <f t="shared" si="35"/>
        <v/>
      </c>
      <c r="AC342" s="23" t="str">
        <f t="shared" si="30"/>
        <v/>
      </c>
    </row>
    <row r="343" spans="1:29" ht="15" customHeight="1" x14ac:dyDescent="0.2">
      <c r="A343" t="str">
        <f t="shared" si="31"/>
        <v/>
      </c>
      <c r="N343" s="23" t="str">
        <f t="shared" si="32"/>
        <v/>
      </c>
      <c r="O343" s="24" t="str">
        <f t="shared" si="33"/>
        <v/>
      </c>
      <c r="P343" s="25" t="str">
        <f t="shared" si="34"/>
        <v/>
      </c>
      <c r="Q343" t="str">
        <f t="shared" si="35"/>
        <v/>
      </c>
      <c r="AC343" s="23" t="str">
        <f t="shared" si="30"/>
        <v/>
      </c>
    </row>
    <row r="344" spans="1:29" ht="15" customHeight="1" x14ac:dyDescent="0.2">
      <c r="A344" t="str">
        <f t="shared" si="31"/>
        <v/>
      </c>
      <c r="N344" s="23" t="str">
        <f t="shared" si="32"/>
        <v/>
      </c>
      <c r="O344" s="24" t="str">
        <f t="shared" si="33"/>
        <v/>
      </c>
      <c r="P344" s="25" t="str">
        <f t="shared" si="34"/>
        <v/>
      </c>
      <c r="Q344" t="str">
        <f t="shared" si="35"/>
        <v/>
      </c>
      <c r="AC344" s="23" t="str">
        <f t="shared" si="30"/>
        <v/>
      </c>
    </row>
    <row r="345" spans="1:29" ht="15" customHeight="1" x14ac:dyDescent="0.2">
      <c r="A345" t="str">
        <f t="shared" si="31"/>
        <v/>
      </c>
      <c r="N345" s="23" t="str">
        <f t="shared" si="32"/>
        <v/>
      </c>
      <c r="O345" s="24" t="str">
        <f t="shared" si="33"/>
        <v/>
      </c>
      <c r="P345" s="25" t="str">
        <f t="shared" si="34"/>
        <v/>
      </c>
      <c r="Q345" t="str">
        <f t="shared" si="35"/>
        <v/>
      </c>
      <c r="AC345" s="23" t="str">
        <f t="shared" si="30"/>
        <v/>
      </c>
    </row>
    <row r="346" spans="1:29" ht="15" customHeight="1" x14ac:dyDescent="0.2">
      <c r="A346" t="str">
        <f t="shared" si="31"/>
        <v/>
      </c>
      <c r="N346" s="23" t="str">
        <f t="shared" si="32"/>
        <v/>
      </c>
      <c r="O346" s="24" t="str">
        <f t="shared" si="33"/>
        <v/>
      </c>
      <c r="P346" s="25" t="str">
        <f t="shared" si="34"/>
        <v/>
      </c>
      <c r="Q346" t="str">
        <f t="shared" si="35"/>
        <v/>
      </c>
      <c r="AC346" s="23" t="str">
        <f t="shared" si="30"/>
        <v/>
      </c>
    </row>
    <row r="347" spans="1:29" ht="15" customHeight="1" x14ac:dyDescent="0.2">
      <c r="A347" t="str">
        <f t="shared" si="31"/>
        <v/>
      </c>
      <c r="N347" s="23" t="str">
        <f t="shared" si="32"/>
        <v/>
      </c>
      <c r="O347" s="24" t="str">
        <f t="shared" si="33"/>
        <v/>
      </c>
      <c r="P347" s="25" t="str">
        <f t="shared" si="34"/>
        <v/>
      </c>
      <c r="Q347" t="str">
        <f t="shared" si="35"/>
        <v/>
      </c>
      <c r="AC347" s="23" t="str">
        <f t="shared" si="30"/>
        <v/>
      </c>
    </row>
    <row r="348" spans="1:29" ht="15" customHeight="1" x14ac:dyDescent="0.2">
      <c r="A348" t="str">
        <f t="shared" si="31"/>
        <v/>
      </c>
      <c r="N348" s="23" t="str">
        <f t="shared" si="32"/>
        <v/>
      </c>
      <c r="O348" s="24" t="str">
        <f t="shared" si="33"/>
        <v/>
      </c>
      <c r="P348" s="25" t="str">
        <f t="shared" si="34"/>
        <v/>
      </c>
      <c r="Q348" t="str">
        <f t="shared" si="35"/>
        <v/>
      </c>
      <c r="AC348" s="23" t="str">
        <f t="shared" si="30"/>
        <v/>
      </c>
    </row>
    <row r="349" spans="1:29" ht="15" customHeight="1" x14ac:dyDescent="0.2">
      <c r="A349" t="str">
        <f t="shared" si="31"/>
        <v/>
      </c>
      <c r="N349" s="23" t="str">
        <f t="shared" si="32"/>
        <v/>
      </c>
      <c r="O349" s="24" t="str">
        <f t="shared" si="33"/>
        <v/>
      </c>
      <c r="P349" s="25" t="str">
        <f t="shared" si="34"/>
        <v/>
      </c>
      <c r="Q349" t="str">
        <f t="shared" si="35"/>
        <v/>
      </c>
      <c r="AC349" s="23" t="str">
        <f t="shared" si="30"/>
        <v/>
      </c>
    </row>
    <row r="350" spans="1:29" ht="15" customHeight="1" x14ac:dyDescent="0.2">
      <c r="A350" t="str">
        <f t="shared" si="31"/>
        <v/>
      </c>
      <c r="N350" s="23" t="str">
        <f t="shared" si="32"/>
        <v/>
      </c>
      <c r="O350" s="24" t="str">
        <f t="shared" si="33"/>
        <v/>
      </c>
      <c r="P350" s="25" t="str">
        <f t="shared" si="34"/>
        <v/>
      </c>
      <c r="Q350" t="str">
        <f t="shared" si="35"/>
        <v/>
      </c>
      <c r="AC350" s="23" t="str">
        <f t="shared" si="30"/>
        <v/>
      </c>
    </row>
    <row r="351" spans="1:29" ht="15" customHeight="1" x14ac:dyDescent="0.2">
      <c r="A351" t="str">
        <f t="shared" si="31"/>
        <v/>
      </c>
      <c r="N351" s="23" t="str">
        <f t="shared" si="32"/>
        <v/>
      </c>
      <c r="O351" s="24" t="str">
        <f t="shared" si="33"/>
        <v/>
      </c>
      <c r="P351" s="25" t="str">
        <f t="shared" si="34"/>
        <v/>
      </c>
      <c r="Q351" t="str">
        <f t="shared" si="35"/>
        <v/>
      </c>
      <c r="AC351" s="23" t="str">
        <f t="shared" si="30"/>
        <v/>
      </c>
    </row>
    <row r="352" spans="1:29" ht="15" customHeight="1" x14ac:dyDescent="0.2">
      <c r="A352" t="str">
        <f t="shared" si="31"/>
        <v/>
      </c>
      <c r="N352" s="23" t="str">
        <f t="shared" si="32"/>
        <v/>
      </c>
      <c r="O352" s="24" t="str">
        <f t="shared" si="33"/>
        <v/>
      </c>
      <c r="P352" s="25" t="str">
        <f t="shared" si="34"/>
        <v/>
      </c>
      <c r="Q352" t="str">
        <f t="shared" si="35"/>
        <v/>
      </c>
      <c r="AC352" s="23" t="str">
        <f t="shared" si="30"/>
        <v/>
      </c>
    </row>
    <row r="353" spans="1:29" ht="15" customHeight="1" x14ac:dyDescent="0.2">
      <c r="A353" t="str">
        <f t="shared" si="31"/>
        <v/>
      </c>
      <c r="N353" s="23" t="str">
        <f t="shared" si="32"/>
        <v/>
      </c>
      <c r="O353" s="24" t="str">
        <f t="shared" si="33"/>
        <v/>
      </c>
      <c r="P353" s="25" t="str">
        <f t="shared" si="34"/>
        <v/>
      </c>
      <c r="Q353" t="str">
        <f t="shared" si="35"/>
        <v/>
      </c>
      <c r="AC353" s="23" t="str">
        <f t="shared" si="30"/>
        <v/>
      </c>
    </row>
    <row r="354" spans="1:29" ht="15" customHeight="1" x14ac:dyDescent="0.2">
      <c r="A354" t="str">
        <f t="shared" si="31"/>
        <v/>
      </c>
      <c r="N354" s="23" t="str">
        <f t="shared" si="32"/>
        <v/>
      </c>
      <c r="O354" s="24" t="str">
        <f t="shared" si="33"/>
        <v/>
      </c>
      <c r="P354" s="25" t="str">
        <f t="shared" si="34"/>
        <v/>
      </c>
      <c r="Q354" t="str">
        <f t="shared" si="35"/>
        <v/>
      </c>
      <c r="AC354" s="23" t="str">
        <f t="shared" si="30"/>
        <v/>
      </c>
    </row>
    <row r="355" spans="1:29" ht="15" customHeight="1" x14ac:dyDescent="0.2">
      <c r="A355" t="str">
        <f t="shared" si="31"/>
        <v/>
      </c>
      <c r="N355" s="23" t="str">
        <f t="shared" si="32"/>
        <v/>
      </c>
      <c r="O355" s="24" t="str">
        <f t="shared" si="33"/>
        <v/>
      </c>
      <c r="P355" s="25" t="str">
        <f t="shared" si="34"/>
        <v/>
      </c>
      <c r="Q355" t="str">
        <f t="shared" si="35"/>
        <v/>
      </c>
      <c r="AC355" s="23" t="str">
        <f t="shared" si="30"/>
        <v/>
      </c>
    </row>
    <row r="356" spans="1:29" ht="15" customHeight="1" x14ac:dyDescent="0.2">
      <c r="A356" t="str">
        <f t="shared" si="31"/>
        <v/>
      </c>
      <c r="N356" s="23" t="str">
        <f t="shared" si="32"/>
        <v/>
      </c>
      <c r="O356" s="24" t="str">
        <f t="shared" si="33"/>
        <v/>
      </c>
      <c r="P356" s="25" t="str">
        <f t="shared" si="34"/>
        <v/>
      </c>
      <c r="Q356" t="str">
        <f t="shared" si="35"/>
        <v/>
      </c>
      <c r="AC356" s="23" t="str">
        <f t="shared" si="30"/>
        <v/>
      </c>
    </row>
    <row r="357" spans="1:29" ht="15" customHeight="1" x14ac:dyDescent="0.2">
      <c r="A357" t="str">
        <f t="shared" si="31"/>
        <v/>
      </c>
      <c r="N357" s="23" t="str">
        <f t="shared" si="32"/>
        <v/>
      </c>
      <c r="O357" s="24" t="str">
        <f t="shared" si="33"/>
        <v/>
      </c>
      <c r="P357" s="25" t="str">
        <f t="shared" si="34"/>
        <v/>
      </c>
      <c r="Q357" t="str">
        <f t="shared" si="35"/>
        <v/>
      </c>
      <c r="AC357" s="23" t="str">
        <f t="shared" si="30"/>
        <v/>
      </c>
    </row>
    <row r="358" spans="1:29" ht="15" customHeight="1" x14ac:dyDescent="0.2">
      <c r="A358" t="str">
        <f t="shared" si="31"/>
        <v/>
      </c>
      <c r="N358" s="23" t="str">
        <f t="shared" si="32"/>
        <v/>
      </c>
      <c r="O358" s="24" t="str">
        <f t="shared" si="33"/>
        <v/>
      </c>
      <c r="P358" s="25" t="str">
        <f t="shared" si="34"/>
        <v/>
      </c>
      <c r="Q358" t="str">
        <f t="shared" si="35"/>
        <v/>
      </c>
      <c r="AC358" s="23" t="str">
        <f t="shared" si="30"/>
        <v/>
      </c>
    </row>
    <row r="359" spans="1:29" ht="15" customHeight="1" x14ac:dyDescent="0.2">
      <c r="A359" t="str">
        <f t="shared" si="31"/>
        <v/>
      </c>
      <c r="N359" s="23" t="str">
        <f t="shared" si="32"/>
        <v/>
      </c>
      <c r="O359" s="24" t="str">
        <f t="shared" si="33"/>
        <v/>
      </c>
      <c r="P359" s="25" t="str">
        <f t="shared" si="34"/>
        <v/>
      </c>
      <c r="Q359" t="str">
        <f t="shared" si="35"/>
        <v/>
      </c>
      <c r="AC359" s="23" t="str">
        <f t="shared" si="30"/>
        <v/>
      </c>
    </row>
    <row r="360" spans="1:29" ht="15" customHeight="1" x14ac:dyDescent="0.2">
      <c r="A360" t="str">
        <f t="shared" si="31"/>
        <v/>
      </c>
      <c r="N360" s="23" t="str">
        <f t="shared" si="32"/>
        <v/>
      </c>
      <c r="O360" s="24" t="str">
        <f t="shared" si="33"/>
        <v/>
      </c>
      <c r="P360" s="25" t="str">
        <f t="shared" si="34"/>
        <v/>
      </c>
      <c r="Q360" t="str">
        <f t="shared" si="35"/>
        <v/>
      </c>
      <c r="AC360" s="23" t="str">
        <f t="shared" si="30"/>
        <v/>
      </c>
    </row>
    <row r="361" spans="1:29" ht="15" customHeight="1" x14ac:dyDescent="0.2">
      <c r="A361" t="str">
        <f t="shared" si="31"/>
        <v/>
      </c>
      <c r="N361" s="23" t="str">
        <f t="shared" si="32"/>
        <v/>
      </c>
      <c r="O361" s="24" t="str">
        <f t="shared" si="33"/>
        <v/>
      </c>
      <c r="P361" s="25" t="str">
        <f t="shared" si="34"/>
        <v/>
      </c>
      <c r="Q361" t="str">
        <f t="shared" si="35"/>
        <v/>
      </c>
      <c r="AC361" s="23" t="str">
        <f t="shared" si="30"/>
        <v/>
      </c>
    </row>
    <row r="362" spans="1:29" ht="15" customHeight="1" x14ac:dyDescent="0.2">
      <c r="A362" t="str">
        <f t="shared" si="31"/>
        <v/>
      </c>
      <c r="N362" s="23" t="str">
        <f t="shared" si="32"/>
        <v/>
      </c>
      <c r="O362" s="24" t="str">
        <f t="shared" si="33"/>
        <v/>
      </c>
      <c r="P362" s="25" t="str">
        <f t="shared" si="34"/>
        <v/>
      </c>
      <c r="Q362" t="str">
        <f t="shared" si="35"/>
        <v/>
      </c>
      <c r="AC362" s="23" t="str">
        <f t="shared" si="30"/>
        <v/>
      </c>
    </row>
    <row r="363" spans="1:29" ht="15" customHeight="1" x14ac:dyDescent="0.2">
      <c r="A363" t="str">
        <f t="shared" si="31"/>
        <v/>
      </c>
      <c r="N363" s="23" t="str">
        <f t="shared" si="32"/>
        <v/>
      </c>
      <c r="O363" s="24" t="str">
        <f t="shared" si="33"/>
        <v/>
      </c>
      <c r="P363" s="25" t="str">
        <f t="shared" si="34"/>
        <v/>
      </c>
      <c r="Q363" t="str">
        <f t="shared" si="35"/>
        <v/>
      </c>
      <c r="AC363" s="23" t="str">
        <f t="shared" si="30"/>
        <v/>
      </c>
    </row>
    <row r="364" spans="1:29" ht="15" customHeight="1" x14ac:dyDescent="0.2">
      <c r="A364" t="str">
        <f t="shared" si="31"/>
        <v/>
      </c>
      <c r="N364" s="23" t="str">
        <f t="shared" si="32"/>
        <v/>
      </c>
      <c r="O364" s="24" t="str">
        <f t="shared" si="33"/>
        <v/>
      </c>
      <c r="P364" s="25" t="str">
        <f t="shared" si="34"/>
        <v/>
      </c>
      <c r="Q364" t="str">
        <f t="shared" si="35"/>
        <v/>
      </c>
      <c r="AC364" s="23" t="str">
        <f t="shared" si="30"/>
        <v/>
      </c>
    </row>
    <row r="365" spans="1:29" ht="15" customHeight="1" x14ac:dyDescent="0.2">
      <c r="A365" t="str">
        <f t="shared" si="31"/>
        <v/>
      </c>
      <c r="N365" s="23" t="str">
        <f t="shared" si="32"/>
        <v/>
      </c>
      <c r="O365" s="24" t="str">
        <f t="shared" si="33"/>
        <v/>
      </c>
      <c r="P365" s="25" t="str">
        <f t="shared" si="34"/>
        <v/>
      </c>
      <c r="Q365" t="str">
        <f t="shared" si="35"/>
        <v/>
      </c>
      <c r="AC365" s="23" t="str">
        <f t="shared" si="30"/>
        <v/>
      </c>
    </row>
    <row r="366" spans="1:29" ht="15" customHeight="1" x14ac:dyDescent="0.2">
      <c r="A366" t="str">
        <f t="shared" si="31"/>
        <v/>
      </c>
      <c r="N366" s="23" t="str">
        <f t="shared" si="32"/>
        <v/>
      </c>
      <c r="O366" s="24" t="str">
        <f t="shared" si="33"/>
        <v/>
      </c>
      <c r="P366" s="25" t="str">
        <f t="shared" si="34"/>
        <v/>
      </c>
      <c r="Q366" t="str">
        <f t="shared" si="35"/>
        <v/>
      </c>
      <c r="AC366" s="23" t="str">
        <f t="shared" si="30"/>
        <v/>
      </c>
    </row>
    <row r="367" spans="1:29" ht="15" customHeight="1" x14ac:dyDescent="0.2">
      <c r="A367" t="str">
        <f t="shared" si="31"/>
        <v/>
      </c>
      <c r="N367" s="23" t="str">
        <f t="shared" si="32"/>
        <v/>
      </c>
      <c r="O367" s="24" t="str">
        <f t="shared" si="33"/>
        <v/>
      </c>
      <c r="P367" s="25" t="str">
        <f t="shared" si="34"/>
        <v/>
      </c>
      <c r="Q367" t="str">
        <f t="shared" si="35"/>
        <v/>
      </c>
      <c r="AC367" s="23" t="str">
        <f t="shared" si="30"/>
        <v/>
      </c>
    </row>
    <row r="368" spans="1:29" ht="15" customHeight="1" x14ac:dyDescent="0.2">
      <c r="A368" t="str">
        <f t="shared" si="31"/>
        <v/>
      </c>
      <c r="N368" s="23" t="str">
        <f t="shared" si="32"/>
        <v/>
      </c>
      <c r="O368" s="24" t="str">
        <f t="shared" si="33"/>
        <v/>
      </c>
      <c r="P368" s="25" t="str">
        <f t="shared" si="34"/>
        <v/>
      </c>
      <c r="Q368" t="str">
        <f t="shared" si="35"/>
        <v/>
      </c>
      <c r="AC368" s="23" t="str">
        <f t="shared" si="30"/>
        <v/>
      </c>
    </row>
    <row r="369" spans="1:29" ht="15" customHeight="1" x14ac:dyDescent="0.2">
      <c r="A369" t="str">
        <f t="shared" si="31"/>
        <v/>
      </c>
      <c r="N369" s="23" t="str">
        <f t="shared" si="32"/>
        <v/>
      </c>
      <c r="O369" s="24" t="str">
        <f t="shared" si="33"/>
        <v/>
      </c>
      <c r="P369" s="25" t="str">
        <f t="shared" si="34"/>
        <v/>
      </c>
      <c r="Q369" t="str">
        <f t="shared" si="35"/>
        <v/>
      </c>
      <c r="AC369" s="23" t="str">
        <f t="shared" si="30"/>
        <v/>
      </c>
    </row>
    <row r="370" spans="1:29" ht="15" customHeight="1" x14ac:dyDescent="0.2">
      <c r="A370" t="str">
        <f t="shared" si="31"/>
        <v/>
      </c>
      <c r="N370" s="23" t="str">
        <f t="shared" si="32"/>
        <v/>
      </c>
      <c r="O370" s="24" t="str">
        <f t="shared" si="33"/>
        <v/>
      </c>
      <c r="P370" s="25" t="str">
        <f t="shared" si="34"/>
        <v/>
      </c>
      <c r="Q370" t="str">
        <f t="shared" si="35"/>
        <v/>
      </c>
      <c r="AC370" s="23" t="str">
        <f t="shared" si="30"/>
        <v/>
      </c>
    </row>
    <row r="371" spans="1:29" ht="15" customHeight="1" x14ac:dyDescent="0.2">
      <c r="A371" t="str">
        <f t="shared" si="31"/>
        <v/>
      </c>
      <c r="N371" s="23" t="str">
        <f t="shared" si="32"/>
        <v/>
      </c>
      <c r="O371" s="24" t="str">
        <f t="shared" si="33"/>
        <v/>
      </c>
      <c r="P371" s="25" t="str">
        <f t="shared" si="34"/>
        <v/>
      </c>
      <c r="Q371" t="str">
        <f t="shared" si="35"/>
        <v/>
      </c>
      <c r="AC371" s="23" t="str">
        <f t="shared" si="30"/>
        <v/>
      </c>
    </row>
    <row r="372" spans="1:29" ht="15" customHeight="1" x14ac:dyDescent="0.2">
      <c r="A372" t="str">
        <f t="shared" si="31"/>
        <v/>
      </c>
      <c r="N372" s="23" t="str">
        <f t="shared" si="32"/>
        <v/>
      </c>
      <c r="O372" s="24" t="str">
        <f t="shared" si="33"/>
        <v/>
      </c>
      <c r="P372" s="25" t="str">
        <f t="shared" si="34"/>
        <v/>
      </c>
      <c r="Q372" t="str">
        <f t="shared" si="35"/>
        <v/>
      </c>
      <c r="AC372" s="23" t="str">
        <f t="shared" si="30"/>
        <v/>
      </c>
    </row>
    <row r="373" spans="1:29" ht="15" customHeight="1" x14ac:dyDescent="0.2">
      <c r="A373" t="str">
        <f t="shared" si="31"/>
        <v/>
      </c>
      <c r="N373" s="23" t="str">
        <f t="shared" si="32"/>
        <v/>
      </c>
      <c r="O373" s="24" t="str">
        <f t="shared" si="33"/>
        <v/>
      </c>
      <c r="P373" s="25" t="str">
        <f t="shared" si="34"/>
        <v/>
      </c>
      <c r="Q373" t="str">
        <f t="shared" si="35"/>
        <v/>
      </c>
      <c r="AC373" s="23" t="str">
        <f t="shared" si="30"/>
        <v/>
      </c>
    </row>
    <row r="374" spans="1:29" ht="15" customHeight="1" x14ac:dyDescent="0.2">
      <c r="A374" t="str">
        <f t="shared" si="31"/>
        <v/>
      </c>
      <c r="N374" s="23" t="str">
        <f t="shared" si="32"/>
        <v/>
      </c>
      <c r="O374" s="24" t="str">
        <f t="shared" si="33"/>
        <v/>
      </c>
      <c r="P374" s="25" t="str">
        <f t="shared" si="34"/>
        <v/>
      </c>
      <c r="Q374" t="str">
        <f t="shared" si="35"/>
        <v/>
      </c>
      <c r="AC374" s="23" t="str">
        <f t="shared" si="30"/>
        <v/>
      </c>
    </row>
    <row r="375" spans="1:29" ht="15" customHeight="1" x14ac:dyDescent="0.2">
      <c r="A375" t="str">
        <f t="shared" si="31"/>
        <v/>
      </c>
      <c r="N375" s="23" t="str">
        <f t="shared" si="32"/>
        <v/>
      </c>
      <c r="O375" s="24" t="str">
        <f t="shared" si="33"/>
        <v/>
      </c>
      <c r="P375" s="25" t="str">
        <f t="shared" si="34"/>
        <v/>
      </c>
      <c r="Q375" t="str">
        <f t="shared" si="35"/>
        <v/>
      </c>
      <c r="AC375" s="23" t="str">
        <f t="shared" si="30"/>
        <v/>
      </c>
    </row>
    <row r="376" spans="1:29" ht="15" customHeight="1" x14ac:dyDescent="0.2">
      <c r="A376" t="str">
        <f t="shared" si="31"/>
        <v/>
      </c>
      <c r="N376" s="23" t="str">
        <f t="shared" si="32"/>
        <v/>
      </c>
      <c r="O376" s="24" t="str">
        <f t="shared" si="33"/>
        <v/>
      </c>
      <c r="P376" s="25" t="str">
        <f t="shared" si="34"/>
        <v/>
      </c>
      <c r="Q376" t="str">
        <f t="shared" si="35"/>
        <v/>
      </c>
      <c r="AC376" s="23" t="str">
        <f t="shared" si="30"/>
        <v/>
      </c>
    </row>
    <row r="377" spans="1:29" ht="15" customHeight="1" x14ac:dyDescent="0.2">
      <c r="A377" t="str">
        <f t="shared" si="31"/>
        <v/>
      </c>
      <c r="N377" s="23" t="str">
        <f t="shared" si="32"/>
        <v/>
      </c>
      <c r="O377" s="24" t="str">
        <f t="shared" si="33"/>
        <v/>
      </c>
      <c r="P377" s="25" t="str">
        <f t="shared" si="34"/>
        <v/>
      </c>
      <c r="Q377" t="str">
        <f t="shared" si="35"/>
        <v/>
      </c>
      <c r="AC377" s="23" t="str">
        <f t="shared" si="30"/>
        <v/>
      </c>
    </row>
    <row r="378" spans="1:29" ht="15" customHeight="1" x14ac:dyDescent="0.2">
      <c r="A378" t="str">
        <f t="shared" si="31"/>
        <v/>
      </c>
      <c r="N378" s="23" t="str">
        <f t="shared" si="32"/>
        <v/>
      </c>
      <c r="O378" s="24" t="str">
        <f t="shared" si="33"/>
        <v/>
      </c>
      <c r="P378" s="25" t="str">
        <f t="shared" si="34"/>
        <v/>
      </c>
      <c r="Q378" t="str">
        <f t="shared" si="35"/>
        <v/>
      </c>
      <c r="AC378" s="23" t="str">
        <f t="shared" si="30"/>
        <v/>
      </c>
    </row>
    <row r="379" spans="1:29" ht="15" customHeight="1" x14ac:dyDescent="0.2">
      <c r="A379" t="str">
        <f t="shared" si="31"/>
        <v/>
      </c>
      <c r="N379" s="23" t="str">
        <f t="shared" si="32"/>
        <v/>
      </c>
      <c r="O379" s="24" t="str">
        <f t="shared" si="33"/>
        <v/>
      </c>
      <c r="P379" s="25" t="str">
        <f t="shared" si="34"/>
        <v/>
      </c>
      <c r="Q379" t="str">
        <f t="shared" si="35"/>
        <v/>
      </c>
      <c r="AC379" s="23" t="str">
        <f t="shared" si="30"/>
        <v/>
      </c>
    </row>
    <row r="380" spans="1:29" ht="15" customHeight="1" x14ac:dyDescent="0.2">
      <c r="A380" t="str">
        <f t="shared" si="31"/>
        <v/>
      </c>
      <c r="N380" s="23" t="str">
        <f t="shared" si="32"/>
        <v/>
      </c>
      <c r="O380" s="24" t="str">
        <f t="shared" si="33"/>
        <v/>
      </c>
      <c r="P380" s="25" t="str">
        <f t="shared" si="34"/>
        <v/>
      </c>
      <c r="Q380" t="str">
        <f t="shared" si="35"/>
        <v/>
      </c>
      <c r="AC380" s="23" t="str">
        <f t="shared" si="30"/>
        <v/>
      </c>
    </row>
    <row r="381" spans="1:29" ht="15" customHeight="1" x14ac:dyDescent="0.2">
      <c r="A381" t="str">
        <f t="shared" si="31"/>
        <v/>
      </c>
      <c r="N381" s="23" t="str">
        <f t="shared" si="32"/>
        <v/>
      </c>
      <c r="O381" s="24" t="str">
        <f t="shared" si="33"/>
        <v/>
      </c>
      <c r="P381" s="25" t="str">
        <f t="shared" si="34"/>
        <v/>
      </c>
      <c r="Q381" t="str">
        <f t="shared" si="35"/>
        <v/>
      </c>
      <c r="AC381" s="23" t="str">
        <f t="shared" si="30"/>
        <v/>
      </c>
    </row>
    <row r="382" spans="1:29" ht="15" customHeight="1" x14ac:dyDescent="0.2">
      <c r="A382" t="str">
        <f t="shared" si="31"/>
        <v/>
      </c>
      <c r="N382" s="23" t="str">
        <f t="shared" si="32"/>
        <v/>
      </c>
      <c r="O382" s="24" t="str">
        <f t="shared" si="33"/>
        <v/>
      </c>
      <c r="P382" s="25" t="str">
        <f t="shared" si="34"/>
        <v/>
      </c>
      <c r="Q382" t="str">
        <f t="shared" si="35"/>
        <v/>
      </c>
      <c r="AC382" s="23" t="str">
        <f t="shared" si="30"/>
        <v/>
      </c>
    </row>
    <row r="383" spans="1:29" ht="15" customHeight="1" x14ac:dyDescent="0.2">
      <c r="A383" t="str">
        <f t="shared" si="31"/>
        <v/>
      </c>
      <c r="N383" s="23" t="str">
        <f t="shared" si="32"/>
        <v/>
      </c>
      <c r="O383" s="24" t="str">
        <f t="shared" si="33"/>
        <v/>
      </c>
      <c r="P383" s="25" t="str">
        <f t="shared" si="34"/>
        <v/>
      </c>
      <c r="Q383" t="str">
        <f t="shared" si="35"/>
        <v/>
      </c>
      <c r="AC383" s="23" t="str">
        <f t="shared" si="30"/>
        <v/>
      </c>
    </row>
    <row r="384" spans="1:29" ht="15" customHeight="1" x14ac:dyDescent="0.2">
      <c r="A384" t="str">
        <f t="shared" si="31"/>
        <v/>
      </c>
      <c r="N384" s="23" t="str">
        <f t="shared" si="32"/>
        <v/>
      </c>
      <c r="O384" s="24" t="str">
        <f t="shared" si="33"/>
        <v/>
      </c>
      <c r="P384" s="25" t="str">
        <f t="shared" si="34"/>
        <v/>
      </c>
      <c r="Q384" t="str">
        <f t="shared" si="35"/>
        <v/>
      </c>
      <c r="AC384" s="23" t="str">
        <f t="shared" si="30"/>
        <v/>
      </c>
    </row>
    <row r="385" spans="1:29" ht="15" customHeight="1" x14ac:dyDescent="0.2">
      <c r="A385" t="str">
        <f t="shared" si="31"/>
        <v/>
      </c>
      <c r="N385" s="23" t="str">
        <f t="shared" si="32"/>
        <v/>
      </c>
      <c r="O385" s="24" t="str">
        <f t="shared" si="33"/>
        <v/>
      </c>
      <c r="P385" s="25" t="str">
        <f t="shared" si="34"/>
        <v/>
      </c>
      <c r="Q385" t="str">
        <f t="shared" si="35"/>
        <v/>
      </c>
      <c r="AC385" s="23" t="str">
        <f t="shared" si="30"/>
        <v/>
      </c>
    </row>
    <row r="386" spans="1:29" ht="15" customHeight="1" x14ac:dyDescent="0.2">
      <c r="A386" t="str">
        <f t="shared" si="31"/>
        <v/>
      </c>
      <c r="N386" s="23" t="str">
        <f t="shared" si="32"/>
        <v/>
      </c>
      <c r="O386" s="24" t="str">
        <f t="shared" si="33"/>
        <v/>
      </c>
      <c r="P386" s="25" t="str">
        <f t="shared" si="34"/>
        <v/>
      </c>
      <c r="Q386" t="str">
        <f t="shared" si="35"/>
        <v/>
      </c>
      <c r="AC386" s="23" t="str">
        <f t="shared" ref="AC386:AC449" si="36">IF(N386="","",N386-IF(Z386="",0,Z386))</f>
        <v/>
      </c>
    </row>
    <row r="387" spans="1:29" ht="15" customHeight="1" x14ac:dyDescent="0.2">
      <c r="A387" t="str">
        <f t="shared" si="31"/>
        <v/>
      </c>
      <c r="N387" s="23" t="str">
        <f t="shared" si="32"/>
        <v/>
      </c>
      <c r="O387" s="24" t="str">
        <f t="shared" si="33"/>
        <v/>
      </c>
      <c r="P387" s="25" t="str">
        <f t="shared" si="34"/>
        <v/>
      </c>
      <c r="Q387" t="str">
        <f t="shared" si="35"/>
        <v/>
      </c>
      <c r="AC387" s="23" t="str">
        <f t="shared" si="36"/>
        <v/>
      </c>
    </row>
    <row r="388" spans="1:29" ht="15" customHeight="1" x14ac:dyDescent="0.2">
      <c r="A388" t="str">
        <f t="shared" si="31"/>
        <v/>
      </c>
      <c r="N388" s="23" t="str">
        <f t="shared" si="32"/>
        <v/>
      </c>
      <c r="O388" s="24" t="str">
        <f t="shared" si="33"/>
        <v/>
      </c>
      <c r="P388" s="25" t="str">
        <f t="shared" si="34"/>
        <v/>
      </c>
      <c r="Q388" t="str">
        <f t="shared" si="35"/>
        <v/>
      </c>
      <c r="AC388" s="23" t="str">
        <f t="shared" si="36"/>
        <v/>
      </c>
    </row>
    <row r="389" spans="1:29" ht="15" customHeight="1" x14ac:dyDescent="0.2">
      <c r="A389" t="str">
        <f t="shared" si="31"/>
        <v/>
      </c>
      <c r="N389" s="23" t="str">
        <f t="shared" si="32"/>
        <v/>
      </c>
      <c r="O389" s="24" t="str">
        <f t="shared" si="33"/>
        <v/>
      </c>
      <c r="P389" s="25" t="str">
        <f t="shared" si="34"/>
        <v/>
      </c>
      <c r="Q389" t="str">
        <f t="shared" si="35"/>
        <v/>
      </c>
      <c r="AC389" s="23" t="str">
        <f t="shared" si="36"/>
        <v/>
      </c>
    </row>
    <row r="390" spans="1:29" ht="15" customHeight="1" x14ac:dyDescent="0.2">
      <c r="A390" t="str">
        <f t="shared" si="31"/>
        <v/>
      </c>
      <c r="N390" s="23" t="str">
        <f t="shared" si="32"/>
        <v/>
      </c>
      <c r="O390" s="24" t="str">
        <f t="shared" si="33"/>
        <v/>
      </c>
      <c r="P390" s="25" t="str">
        <f t="shared" si="34"/>
        <v/>
      </c>
      <c r="Q390" t="str">
        <f t="shared" si="35"/>
        <v/>
      </c>
      <c r="AC390" s="23" t="str">
        <f t="shared" si="36"/>
        <v/>
      </c>
    </row>
    <row r="391" spans="1:29" ht="15" customHeight="1" x14ac:dyDescent="0.2">
      <c r="A391" t="str">
        <f t="shared" si="31"/>
        <v/>
      </c>
      <c r="N391" s="23" t="str">
        <f t="shared" si="32"/>
        <v/>
      </c>
      <c r="O391" s="24" t="str">
        <f t="shared" si="33"/>
        <v/>
      </c>
      <c r="P391" s="25" t="str">
        <f t="shared" si="34"/>
        <v/>
      </c>
      <c r="Q391" t="str">
        <f t="shared" si="35"/>
        <v/>
      </c>
      <c r="AC391" s="23" t="str">
        <f t="shared" si="36"/>
        <v/>
      </c>
    </row>
    <row r="392" spans="1:29" ht="15" customHeight="1" x14ac:dyDescent="0.2">
      <c r="A392" t="str">
        <f t="shared" si="31"/>
        <v/>
      </c>
      <c r="N392" s="23" t="str">
        <f t="shared" si="32"/>
        <v/>
      </c>
      <c r="O392" s="24" t="str">
        <f t="shared" si="33"/>
        <v/>
      </c>
      <c r="P392" s="25" t="str">
        <f t="shared" si="34"/>
        <v/>
      </c>
      <c r="Q392" t="str">
        <f t="shared" si="35"/>
        <v/>
      </c>
      <c r="AC392" s="23" t="str">
        <f t="shared" si="36"/>
        <v/>
      </c>
    </row>
    <row r="393" spans="1:29" ht="15" customHeight="1" x14ac:dyDescent="0.2">
      <c r="A393" t="str">
        <f t="shared" si="31"/>
        <v/>
      </c>
      <c r="N393" s="23" t="str">
        <f t="shared" si="32"/>
        <v/>
      </c>
      <c r="O393" s="24" t="str">
        <f t="shared" si="33"/>
        <v/>
      </c>
      <c r="P393" s="25" t="str">
        <f t="shared" si="34"/>
        <v/>
      </c>
      <c r="Q393" t="str">
        <f t="shared" si="35"/>
        <v/>
      </c>
      <c r="AC393" s="23" t="str">
        <f t="shared" si="36"/>
        <v/>
      </c>
    </row>
    <row r="394" spans="1:29" ht="15" customHeight="1" x14ac:dyDescent="0.2">
      <c r="A394" t="str">
        <f t="shared" si="31"/>
        <v/>
      </c>
      <c r="N394" s="23" t="str">
        <f t="shared" si="32"/>
        <v/>
      </c>
      <c r="O394" s="24" t="str">
        <f t="shared" si="33"/>
        <v/>
      </c>
      <c r="P394" s="25" t="str">
        <f t="shared" si="34"/>
        <v/>
      </c>
      <c r="Q394" t="str">
        <f t="shared" si="35"/>
        <v/>
      </c>
      <c r="AC394" s="23" t="str">
        <f t="shared" si="36"/>
        <v/>
      </c>
    </row>
    <row r="395" spans="1:29" ht="15" customHeight="1" x14ac:dyDescent="0.2">
      <c r="A395" t="str">
        <f t="shared" si="31"/>
        <v/>
      </c>
      <c r="N395" s="23" t="str">
        <f t="shared" si="32"/>
        <v/>
      </c>
      <c r="O395" s="24" t="str">
        <f t="shared" si="33"/>
        <v/>
      </c>
      <c r="P395" s="25" t="str">
        <f t="shared" si="34"/>
        <v/>
      </c>
      <c r="Q395" t="str">
        <f t="shared" si="35"/>
        <v/>
      </c>
      <c r="AC395" s="23" t="str">
        <f t="shared" si="36"/>
        <v/>
      </c>
    </row>
    <row r="396" spans="1:29" ht="15" customHeight="1" x14ac:dyDescent="0.2">
      <c r="A396" t="str">
        <f t="shared" si="31"/>
        <v/>
      </c>
      <c r="N396" s="23" t="str">
        <f t="shared" si="32"/>
        <v/>
      </c>
      <c r="O396" s="24" t="str">
        <f t="shared" si="33"/>
        <v/>
      </c>
      <c r="P396" s="25" t="str">
        <f t="shared" si="34"/>
        <v/>
      </c>
      <c r="Q396" t="str">
        <f t="shared" si="35"/>
        <v/>
      </c>
      <c r="AC396" s="23" t="str">
        <f t="shared" si="36"/>
        <v/>
      </c>
    </row>
    <row r="397" spans="1:29" ht="15" customHeight="1" x14ac:dyDescent="0.2">
      <c r="A397" t="str">
        <f t="shared" si="31"/>
        <v/>
      </c>
      <c r="N397" s="23" t="str">
        <f t="shared" si="32"/>
        <v/>
      </c>
      <c r="O397" s="24" t="str">
        <f t="shared" si="33"/>
        <v/>
      </c>
      <c r="P397" s="25" t="str">
        <f t="shared" si="34"/>
        <v/>
      </c>
      <c r="Q397" t="str">
        <f t="shared" si="35"/>
        <v/>
      </c>
      <c r="AC397" s="23" t="str">
        <f t="shared" si="36"/>
        <v/>
      </c>
    </row>
    <row r="398" spans="1:29" ht="15" customHeight="1" x14ac:dyDescent="0.2">
      <c r="A398" t="str">
        <f t="shared" ref="A398:A461" si="37">IF(B398="","",ROW()-1)</f>
        <v/>
      </c>
      <c r="N398" s="23" t="str">
        <f t="shared" ref="N398:N461" si="38">IF(OR(K398="",G398="",J398=""),"",IF(E398="LONG",(K398-G398)*J398,(G398-K398)*J398))</f>
        <v/>
      </c>
      <c r="O398" s="24" t="str">
        <f t="shared" ref="O398:O461" si="39">IF(OR(K398="",G398="",G398=0),"",IF(E398="LONG",(K398-G398)/G398,(G398-K398)/G398))</f>
        <v/>
      </c>
      <c r="P398" s="25" t="str">
        <f t="shared" ref="P398:P461" si="40">IF(OR(N398="",H398="",G398="",ABS(G398-H398)=0),"",N398/(ABS(G398-H398)*J398))</f>
        <v/>
      </c>
      <c r="Q398" t="str">
        <f t="shared" ref="Q398:Q461" si="41">IF(N398="","",IF(N398&gt;0,"WIN",IF(N398&lt;0,"LOSS","FLAT")))</f>
        <v/>
      </c>
      <c r="AC398" s="23" t="str">
        <f t="shared" si="36"/>
        <v/>
      </c>
    </row>
    <row r="399" spans="1:29" ht="15" customHeight="1" x14ac:dyDescent="0.2">
      <c r="A399" t="str">
        <f t="shared" si="37"/>
        <v/>
      </c>
      <c r="N399" s="23" t="str">
        <f t="shared" si="38"/>
        <v/>
      </c>
      <c r="O399" s="24" t="str">
        <f t="shared" si="39"/>
        <v/>
      </c>
      <c r="P399" s="25" t="str">
        <f t="shared" si="40"/>
        <v/>
      </c>
      <c r="Q399" t="str">
        <f t="shared" si="41"/>
        <v/>
      </c>
      <c r="AC399" s="23" t="str">
        <f t="shared" si="36"/>
        <v/>
      </c>
    </row>
    <row r="400" spans="1:29" ht="15" customHeight="1" x14ac:dyDescent="0.2">
      <c r="A400" t="str">
        <f t="shared" si="37"/>
        <v/>
      </c>
      <c r="N400" s="23" t="str">
        <f t="shared" si="38"/>
        <v/>
      </c>
      <c r="O400" s="24" t="str">
        <f t="shared" si="39"/>
        <v/>
      </c>
      <c r="P400" s="25" t="str">
        <f t="shared" si="40"/>
        <v/>
      </c>
      <c r="Q400" t="str">
        <f t="shared" si="41"/>
        <v/>
      </c>
      <c r="AC400" s="23" t="str">
        <f t="shared" si="36"/>
        <v/>
      </c>
    </row>
    <row r="401" spans="1:29" ht="15" customHeight="1" x14ac:dyDescent="0.2">
      <c r="A401" t="str">
        <f t="shared" si="37"/>
        <v/>
      </c>
      <c r="N401" s="23" t="str">
        <f t="shared" si="38"/>
        <v/>
      </c>
      <c r="O401" s="24" t="str">
        <f t="shared" si="39"/>
        <v/>
      </c>
      <c r="P401" s="25" t="str">
        <f t="shared" si="40"/>
        <v/>
      </c>
      <c r="Q401" t="str">
        <f t="shared" si="41"/>
        <v/>
      </c>
      <c r="AC401" s="23" t="str">
        <f t="shared" si="36"/>
        <v/>
      </c>
    </row>
    <row r="402" spans="1:29" ht="15" customHeight="1" x14ac:dyDescent="0.2">
      <c r="A402" t="str">
        <f t="shared" si="37"/>
        <v/>
      </c>
      <c r="N402" s="23" t="str">
        <f t="shared" si="38"/>
        <v/>
      </c>
      <c r="O402" s="24" t="str">
        <f t="shared" si="39"/>
        <v/>
      </c>
      <c r="P402" s="25" t="str">
        <f t="shared" si="40"/>
        <v/>
      </c>
      <c r="Q402" t="str">
        <f t="shared" si="41"/>
        <v/>
      </c>
      <c r="AC402" s="23" t="str">
        <f t="shared" si="36"/>
        <v/>
      </c>
    </row>
    <row r="403" spans="1:29" ht="15" customHeight="1" x14ac:dyDescent="0.2">
      <c r="A403" t="str">
        <f t="shared" si="37"/>
        <v/>
      </c>
      <c r="N403" s="23" t="str">
        <f t="shared" si="38"/>
        <v/>
      </c>
      <c r="O403" s="24" t="str">
        <f t="shared" si="39"/>
        <v/>
      </c>
      <c r="P403" s="25" t="str">
        <f t="shared" si="40"/>
        <v/>
      </c>
      <c r="Q403" t="str">
        <f t="shared" si="41"/>
        <v/>
      </c>
      <c r="AC403" s="23" t="str">
        <f t="shared" si="36"/>
        <v/>
      </c>
    </row>
    <row r="404" spans="1:29" ht="15" customHeight="1" x14ac:dyDescent="0.2">
      <c r="A404" t="str">
        <f t="shared" si="37"/>
        <v/>
      </c>
      <c r="N404" s="23" t="str">
        <f t="shared" si="38"/>
        <v/>
      </c>
      <c r="O404" s="24" t="str">
        <f t="shared" si="39"/>
        <v/>
      </c>
      <c r="P404" s="25" t="str">
        <f t="shared" si="40"/>
        <v/>
      </c>
      <c r="Q404" t="str">
        <f t="shared" si="41"/>
        <v/>
      </c>
      <c r="AC404" s="23" t="str">
        <f t="shared" si="36"/>
        <v/>
      </c>
    </row>
    <row r="405" spans="1:29" ht="15" customHeight="1" x14ac:dyDescent="0.2">
      <c r="A405" t="str">
        <f t="shared" si="37"/>
        <v/>
      </c>
      <c r="N405" s="23" t="str">
        <f t="shared" si="38"/>
        <v/>
      </c>
      <c r="O405" s="24" t="str">
        <f t="shared" si="39"/>
        <v/>
      </c>
      <c r="P405" s="25" t="str">
        <f t="shared" si="40"/>
        <v/>
      </c>
      <c r="Q405" t="str">
        <f t="shared" si="41"/>
        <v/>
      </c>
      <c r="AC405" s="23" t="str">
        <f t="shared" si="36"/>
        <v/>
      </c>
    </row>
    <row r="406" spans="1:29" ht="15" customHeight="1" x14ac:dyDescent="0.2">
      <c r="A406" t="str">
        <f t="shared" si="37"/>
        <v/>
      </c>
      <c r="N406" s="23" t="str">
        <f t="shared" si="38"/>
        <v/>
      </c>
      <c r="O406" s="24" t="str">
        <f t="shared" si="39"/>
        <v/>
      </c>
      <c r="P406" s="25" t="str">
        <f t="shared" si="40"/>
        <v/>
      </c>
      <c r="Q406" t="str">
        <f t="shared" si="41"/>
        <v/>
      </c>
      <c r="AC406" s="23" t="str">
        <f t="shared" si="36"/>
        <v/>
      </c>
    </row>
    <row r="407" spans="1:29" ht="15" customHeight="1" x14ac:dyDescent="0.2">
      <c r="A407" t="str">
        <f t="shared" si="37"/>
        <v/>
      </c>
      <c r="N407" s="23" t="str">
        <f t="shared" si="38"/>
        <v/>
      </c>
      <c r="O407" s="24" t="str">
        <f t="shared" si="39"/>
        <v/>
      </c>
      <c r="P407" s="25" t="str">
        <f t="shared" si="40"/>
        <v/>
      </c>
      <c r="Q407" t="str">
        <f t="shared" si="41"/>
        <v/>
      </c>
      <c r="AC407" s="23" t="str">
        <f t="shared" si="36"/>
        <v/>
      </c>
    </row>
    <row r="408" spans="1:29" ht="15" customHeight="1" x14ac:dyDescent="0.2">
      <c r="A408" t="str">
        <f t="shared" si="37"/>
        <v/>
      </c>
      <c r="N408" s="23" t="str">
        <f t="shared" si="38"/>
        <v/>
      </c>
      <c r="O408" s="24" t="str">
        <f t="shared" si="39"/>
        <v/>
      </c>
      <c r="P408" s="25" t="str">
        <f t="shared" si="40"/>
        <v/>
      </c>
      <c r="Q408" t="str">
        <f t="shared" si="41"/>
        <v/>
      </c>
      <c r="AC408" s="23" t="str">
        <f t="shared" si="36"/>
        <v/>
      </c>
    </row>
    <row r="409" spans="1:29" ht="15" customHeight="1" x14ac:dyDescent="0.2">
      <c r="A409" t="str">
        <f t="shared" si="37"/>
        <v/>
      </c>
      <c r="N409" s="23" t="str">
        <f t="shared" si="38"/>
        <v/>
      </c>
      <c r="O409" s="24" t="str">
        <f t="shared" si="39"/>
        <v/>
      </c>
      <c r="P409" s="25" t="str">
        <f t="shared" si="40"/>
        <v/>
      </c>
      <c r="Q409" t="str">
        <f t="shared" si="41"/>
        <v/>
      </c>
      <c r="AC409" s="23" t="str">
        <f t="shared" si="36"/>
        <v/>
      </c>
    </row>
    <row r="410" spans="1:29" ht="15" customHeight="1" x14ac:dyDescent="0.2">
      <c r="A410" t="str">
        <f t="shared" si="37"/>
        <v/>
      </c>
      <c r="N410" s="23" t="str">
        <f t="shared" si="38"/>
        <v/>
      </c>
      <c r="O410" s="24" t="str">
        <f t="shared" si="39"/>
        <v/>
      </c>
      <c r="P410" s="25" t="str">
        <f t="shared" si="40"/>
        <v/>
      </c>
      <c r="Q410" t="str">
        <f t="shared" si="41"/>
        <v/>
      </c>
      <c r="AC410" s="23" t="str">
        <f t="shared" si="36"/>
        <v/>
      </c>
    </row>
    <row r="411" spans="1:29" ht="15" customHeight="1" x14ac:dyDescent="0.2">
      <c r="A411" t="str">
        <f t="shared" si="37"/>
        <v/>
      </c>
      <c r="N411" s="23" t="str">
        <f t="shared" si="38"/>
        <v/>
      </c>
      <c r="O411" s="24" t="str">
        <f t="shared" si="39"/>
        <v/>
      </c>
      <c r="P411" s="25" t="str">
        <f t="shared" si="40"/>
        <v/>
      </c>
      <c r="Q411" t="str">
        <f t="shared" si="41"/>
        <v/>
      </c>
      <c r="AC411" s="23" t="str">
        <f t="shared" si="36"/>
        <v/>
      </c>
    </row>
    <row r="412" spans="1:29" ht="15" customHeight="1" x14ac:dyDescent="0.2">
      <c r="A412" t="str">
        <f t="shared" si="37"/>
        <v/>
      </c>
      <c r="N412" s="23" t="str">
        <f t="shared" si="38"/>
        <v/>
      </c>
      <c r="O412" s="24" t="str">
        <f t="shared" si="39"/>
        <v/>
      </c>
      <c r="P412" s="25" t="str">
        <f t="shared" si="40"/>
        <v/>
      </c>
      <c r="Q412" t="str">
        <f t="shared" si="41"/>
        <v/>
      </c>
      <c r="AC412" s="23" t="str">
        <f t="shared" si="36"/>
        <v/>
      </c>
    </row>
    <row r="413" spans="1:29" ht="15" customHeight="1" x14ac:dyDescent="0.2">
      <c r="A413" t="str">
        <f t="shared" si="37"/>
        <v/>
      </c>
      <c r="N413" s="23" t="str">
        <f t="shared" si="38"/>
        <v/>
      </c>
      <c r="O413" s="24" t="str">
        <f t="shared" si="39"/>
        <v/>
      </c>
      <c r="P413" s="25" t="str">
        <f t="shared" si="40"/>
        <v/>
      </c>
      <c r="Q413" t="str">
        <f t="shared" si="41"/>
        <v/>
      </c>
      <c r="AC413" s="23" t="str">
        <f t="shared" si="36"/>
        <v/>
      </c>
    </row>
    <row r="414" spans="1:29" ht="15" customHeight="1" x14ac:dyDescent="0.2">
      <c r="A414" t="str">
        <f t="shared" si="37"/>
        <v/>
      </c>
      <c r="N414" s="23" t="str">
        <f t="shared" si="38"/>
        <v/>
      </c>
      <c r="O414" s="24" t="str">
        <f t="shared" si="39"/>
        <v/>
      </c>
      <c r="P414" s="25" t="str">
        <f t="shared" si="40"/>
        <v/>
      </c>
      <c r="Q414" t="str">
        <f t="shared" si="41"/>
        <v/>
      </c>
      <c r="AC414" s="23" t="str">
        <f t="shared" si="36"/>
        <v/>
      </c>
    </row>
    <row r="415" spans="1:29" ht="15" customHeight="1" x14ac:dyDescent="0.2">
      <c r="A415" t="str">
        <f t="shared" si="37"/>
        <v/>
      </c>
      <c r="N415" s="23" t="str">
        <f t="shared" si="38"/>
        <v/>
      </c>
      <c r="O415" s="24" t="str">
        <f t="shared" si="39"/>
        <v/>
      </c>
      <c r="P415" s="25" t="str">
        <f t="shared" si="40"/>
        <v/>
      </c>
      <c r="Q415" t="str">
        <f t="shared" si="41"/>
        <v/>
      </c>
      <c r="AC415" s="23" t="str">
        <f t="shared" si="36"/>
        <v/>
      </c>
    </row>
    <row r="416" spans="1:29" ht="15" customHeight="1" x14ac:dyDescent="0.2">
      <c r="A416" t="str">
        <f t="shared" si="37"/>
        <v/>
      </c>
      <c r="N416" s="23" t="str">
        <f t="shared" si="38"/>
        <v/>
      </c>
      <c r="O416" s="24" t="str">
        <f t="shared" si="39"/>
        <v/>
      </c>
      <c r="P416" s="25" t="str">
        <f t="shared" si="40"/>
        <v/>
      </c>
      <c r="Q416" t="str">
        <f t="shared" si="41"/>
        <v/>
      </c>
      <c r="AC416" s="23" t="str">
        <f t="shared" si="36"/>
        <v/>
      </c>
    </row>
    <row r="417" spans="1:29" ht="15" customHeight="1" x14ac:dyDescent="0.2">
      <c r="A417" t="str">
        <f t="shared" si="37"/>
        <v/>
      </c>
      <c r="N417" s="23" t="str">
        <f t="shared" si="38"/>
        <v/>
      </c>
      <c r="O417" s="24" t="str">
        <f t="shared" si="39"/>
        <v/>
      </c>
      <c r="P417" s="25" t="str">
        <f t="shared" si="40"/>
        <v/>
      </c>
      <c r="Q417" t="str">
        <f t="shared" si="41"/>
        <v/>
      </c>
      <c r="AC417" s="23" t="str">
        <f t="shared" si="36"/>
        <v/>
      </c>
    </row>
    <row r="418" spans="1:29" ht="15" customHeight="1" x14ac:dyDescent="0.2">
      <c r="A418" t="str">
        <f t="shared" si="37"/>
        <v/>
      </c>
      <c r="N418" s="23" t="str">
        <f t="shared" si="38"/>
        <v/>
      </c>
      <c r="O418" s="24" t="str">
        <f t="shared" si="39"/>
        <v/>
      </c>
      <c r="P418" s="25" t="str">
        <f t="shared" si="40"/>
        <v/>
      </c>
      <c r="Q418" t="str">
        <f t="shared" si="41"/>
        <v/>
      </c>
      <c r="AC418" s="23" t="str">
        <f t="shared" si="36"/>
        <v/>
      </c>
    </row>
    <row r="419" spans="1:29" ht="15" customHeight="1" x14ac:dyDescent="0.2">
      <c r="A419" t="str">
        <f t="shared" si="37"/>
        <v/>
      </c>
      <c r="N419" s="23" t="str">
        <f t="shared" si="38"/>
        <v/>
      </c>
      <c r="O419" s="24" t="str">
        <f t="shared" si="39"/>
        <v/>
      </c>
      <c r="P419" s="25" t="str">
        <f t="shared" si="40"/>
        <v/>
      </c>
      <c r="Q419" t="str">
        <f t="shared" si="41"/>
        <v/>
      </c>
      <c r="AC419" s="23" t="str">
        <f t="shared" si="36"/>
        <v/>
      </c>
    </row>
    <row r="420" spans="1:29" ht="15" customHeight="1" x14ac:dyDescent="0.2">
      <c r="A420" t="str">
        <f t="shared" si="37"/>
        <v/>
      </c>
      <c r="N420" s="23" t="str">
        <f t="shared" si="38"/>
        <v/>
      </c>
      <c r="O420" s="24" t="str">
        <f t="shared" si="39"/>
        <v/>
      </c>
      <c r="P420" s="25" t="str">
        <f t="shared" si="40"/>
        <v/>
      </c>
      <c r="Q420" t="str">
        <f t="shared" si="41"/>
        <v/>
      </c>
      <c r="AC420" s="23" t="str">
        <f t="shared" si="36"/>
        <v/>
      </c>
    </row>
    <row r="421" spans="1:29" ht="15" customHeight="1" x14ac:dyDescent="0.2">
      <c r="A421" t="str">
        <f t="shared" si="37"/>
        <v/>
      </c>
      <c r="N421" s="23" t="str">
        <f t="shared" si="38"/>
        <v/>
      </c>
      <c r="O421" s="24" t="str">
        <f t="shared" si="39"/>
        <v/>
      </c>
      <c r="P421" s="25" t="str">
        <f t="shared" si="40"/>
        <v/>
      </c>
      <c r="Q421" t="str">
        <f t="shared" si="41"/>
        <v/>
      </c>
      <c r="AC421" s="23" t="str">
        <f t="shared" si="36"/>
        <v/>
      </c>
    </row>
    <row r="422" spans="1:29" ht="15" customHeight="1" x14ac:dyDescent="0.2">
      <c r="A422" t="str">
        <f t="shared" si="37"/>
        <v/>
      </c>
      <c r="N422" s="23" t="str">
        <f t="shared" si="38"/>
        <v/>
      </c>
      <c r="O422" s="24" t="str">
        <f t="shared" si="39"/>
        <v/>
      </c>
      <c r="P422" s="25" t="str">
        <f t="shared" si="40"/>
        <v/>
      </c>
      <c r="Q422" t="str">
        <f t="shared" si="41"/>
        <v/>
      </c>
      <c r="AC422" s="23" t="str">
        <f t="shared" si="36"/>
        <v/>
      </c>
    </row>
    <row r="423" spans="1:29" ht="15" customHeight="1" x14ac:dyDescent="0.2">
      <c r="A423" t="str">
        <f t="shared" si="37"/>
        <v/>
      </c>
      <c r="N423" s="23" t="str">
        <f t="shared" si="38"/>
        <v/>
      </c>
      <c r="O423" s="24" t="str">
        <f t="shared" si="39"/>
        <v/>
      </c>
      <c r="P423" s="25" t="str">
        <f t="shared" si="40"/>
        <v/>
      </c>
      <c r="Q423" t="str">
        <f t="shared" si="41"/>
        <v/>
      </c>
      <c r="AC423" s="23" t="str">
        <f t="shared" si="36"/>
        <v/>
      </c>
    </row>
    <row r="424" spans="1:29" ht="15" customHeight="1" x14ac:dyDescent="0.2">
      <c r="A424" t="str">
        <f t="shared" si="37"/>
        <v/>
      </c>
      <c r="N424" s="23" t="str">
        <f t="shared" si="38"/>
        <v/>
      </c>
      <c r="O424" s="24" t="str">
        <f t="shared" si="39"/>
        <v/>
      </c>
      <c r="P424" s="25" t="str">
        <f t="shared" si="40"/>
        <v/>
      </c>
      <c r="Q424" t="str">
        <f t="shared" si="41"/>
        <v/>
      </c>
      <c r="AC424" s="23" t="str">
        <f t="shared" si="36"/>
        <v/>
      </c>
    </row>
    <row r="425" spans="1:29" ht="15" customHeight="1" x14ac:dyDescent="0.2">
      <c r="A425" t="str">
        <f t="shared" si="37"/>
        <v/>
      </c>
      <c r="N425" s="23" t="str">
        <f t="shared" si="38"/>
        <v/>
      </c>
      <c r="O425" s="24" t="str">
        <f t="shared" si="39"/>
        <v/>
      </c>
      <c r="P425" s="25" t="str">
        <f t="shared" si="40"/>
        <v/>
      </c>
      <c r="Q425" t="str">
        <f t="shared" si="41"/>
        <v/>
      </c>
      <c r="AC425" s="23" t="str">
        <f t="shared" si="36"/>
        <v/>
      </c>
    </row>
    <row r="426" spans="1:29" ht="15" customHeight="1" x14ac:dyDescent="0.2">
      <c r="A426" t="str">
        <f t="shared" si="37"/>
        <v/>
      </c>
      <c r="N426" s="23" t="str">
        <f t="shared" si="38"/>
        <v/>
      </c>
      <c r="O426" s="24" t="str">
        <f t="shared" si="39"/>
        <v/>
      </c>
      <c r="P426" s="25" t="str">
        <f t="shared" si="40"/>
        <v/>
      </c>
      <c r="Q426" t="str">
        <f t="shared" si="41"/>
        <v/>
      </c>
      <c r="AC426" s="23" t="str">
        <f t="shared" si="36"/>
        <v/>
      </c>
    </row>
    <row r="427" spans="1:29" ht="15" customHeight="1" x14ac:dyDescent="0.2">
      <c r="A427" t="str">
        <f t="shared" si="37"/>
        <v/>
      </c>
      <c r="N427" s="23" t="str">
        <f t="shared" si="38"/>
        <v/>
      </c>
      <c r="O427" s="24" t="str">
        <f t="shared" si="39"/>
        <v/>
      </c>
      <c r="P427" s="25" t="str">
        <f t="shared" si="40"/>
        <v/>
      </c>
      <c r="Q427" t="str">
        <f t="shared" si="41"/>
        <v/>
      </c>
      <c r="AC427" s="23" t="str">
        <f t="shared" si="36"/>
        <v/>
      </c>
    </row>
    <row r="428" spans="1:29" ht="15" customHeight="1" x14ac:dyDescent="0.2">
      <c r="A428" t="str">
        <f t="shared" si="37"/>
        <v/>
      </c>
      <c r="N428" s="23" t="str">
        <f t="shared" si="38"/>
        <v/>
      </c>
      <c r="O428" s="24" t="str">
        <f t="shared" si="39"/>
        <v/>
      </c>
      <c r="P428" s="25" t="str">
        <f t="shared" si="40"/>
        <v/>
      </c>
      <c r="Q428" t="str">
        <f t="shared" si="41"/>
        <v/>
      </c>
      <c r="AC428" s="23" t="str">
        <f t="shared" si="36"/>
        <v/>
      </c>
    </row>
    <row r="429" spans="1:29" ht="15" customHeight="1" x14ac:dyDescent="0.2">
      <c r="A429" t="str">
        <f t="shared" si="37"/>
        <v/>
      </c>
      <c r="N429" s="23" t="str">
        <f t="shared" si="38"/>
        <v/>
      </c>
      <c r="O429" s="24" t="str">
        <f t="shared" si="39"/>
        <v/>
      </c>
      <c r="P429" s="25" t="str">
        <f t="shared" si="40"/>
        <v/>
      </c>
      <c r="Q429" t="str">
        <f t="shared" si="41"/>
        <v/>
      </c>
      <c r="AC429" s="23" t="str">
        <f t="shared" si="36"/>
        <v/>
      </c>
    </row>
    <row r="430" spans="1:29" ht="15" customHeight="1" x14ac:dyDescent="0.2">
      <c r="A430" t="str">
        <f t="shared" si="37"/>
        <v/>
      </c>
      <c r="N430" s="23" t="str">
        <f t="shared" si="38"/>
        <v/>
      </c>
      <c r="O430" s="24" t="str">
        <f t="shared" si="39"/>
        <v/>
      </c>
      <c r="P430" s="25" t="str">
        <f t="shared" si="40"/>
        <v/>
      </c>
      <c r="Q430" t="str">
        <f t="shared" si="41"/>
        <v/>
      </c>
      <c r="AC430" s="23" t="str">
        <f t="shared" si="36"/>
        <v/>
      </c>
    </row>
    <row r="431" spans="1:29" ht="15" customHeight="1" x14ac:dyDescent="0.2">
      <c r="A431" t="str">
        <f t="shared" si="37"/>
        <v/>
      </c>
      <c r="N431" s="23" t="str">
        <f t="shared" si="38"/>
        <v/>
      </c>
      <c r="O431" s="24" t="str">
        <f t="shared" si="39"/>
        <v/>
      </c>
      <c r="P431" s="25" t="str">
        <f t="shared" si="40"/>
        <v/>
      </c>
      <c r="Q431" t="str">
        <f t="shared" si="41"/>
        <v/>
      </c>
      <c r="AC431" s="23" t="str">
        <f t="shared" si="36"/>
        <v/>
      </c>
    </row>
    <row r="432" spans="1:29" ht="15" customHeight="1" x14ac:dyDescent="0.2">
      <c r="A432" t="str">
        <f t="shared" si="37"/>
        <v/>
      </c>
      <c r="N432" s="23" t="str">
        <f t="shared" si="38"/>
        <v/>
      </c>
      <c r="O432" s="24" t="str">
        <f t="shared" si="39"/>
        <v/>
      </c>
      <c r="P432" s="25" t="str">
        <f t="shared" si="40"/>
        <v/>
      </c>
      <c r="Q432" t="str">
        <f t="shared" si="41"/>
        <v/>
      </c>
      <c r="AC432" s="23" t="str">
        <f t="shared" si="36"/>
        <v/>
      </c>
    </row>
    <row r="433" spans="1:29" ht="15" customHeight="1" x14ac:dyDescent="0.2">
      <c r="A433" t="str">
        <f t="shared" si="37"/>
        <v/>
      </c>
      <c r="N433" s="23" t="str">
        <f t="shared" si="38"/>
        <v/>
      </c>
      <c r="O433" s="24" t="str">
        <f t="shared" si="39"/>
        <v/>
      </c>
      <c r="P433" s="25" t="str">
        <f t="shared" si="40"/>
        <v/>
      </c>
      <c r="Q433" t="str">
        <f t="shared" si="41"/>
        <v/>
      </c>
      <c r="AC433" s="23" t="str">
        <f t="shared" si="36"/>
        <v/>
      </c>
    </row>
    <row r="434" spans="1:29" ht="15" customHeight="1" x14ac:dyDescent="0.2">
      <c r="A434" t="str">
        <f t="shared" si="37"/>
        <v/>
      </c>
      <c r="N434" s="23" t="str">
        <f t="shared" si="38"/>
        <v/>
      </c>
      <c r="O434" s="24" t="str">
        <f t="shared" si="39"/>
        <v/>
      </c>
      <c r="P434" s="25" t="str">
        <f t="shared" si="40"/>
        <v/>
      </c>
      <c r="Q434" t="str">
        <f t="shared" si="41"/>
        <v/>
      </c>
      <c r="AC434" s="23" t="str">
        <f t="shared" si="36"/>
        <v/>
      </c>
    </row>
    <row r="435" spans="1:29" ht="15" customHeight="1" x14ac:dyDescent="0.2">
      <c r="A435" t="str">
        <f t="shared" si="37"/>
        <v/>
      </c>
      <c r="N435" s="23" t="str">
        <f t="shared" si="38"/>
        <v/>
      </c>
      <c r="O435" s="24" t="str">
        <f t="shared" si="39"/>
        <v/>
      </c>
      <c r="P435" s="25" t="str">
        <f t="shared" si="40"/>
        <v/>
      </c>
      <c r="Q435" t="str">
        <f t="shared" si="41"/>
        <v/>
      </c>
      <c r="AC435" s="23" t="str">
        <f t="shared" si="36"/>
        <v/>
      </c>
    </row>
    <row r="436" spans="1:29" ht="15" customHeight="1" x14ac:dyDescent="0.2">
      <c r="A436" t="str">
        <f t="shared" si="37"/>
        <v/>
      </c>
      <c r="N436" s="23" t="str">
        <f t="shared" si="38"/>
        <v/>
      </c>
      <c r="O436" s="24" t="str">
        <f t="shared" si="39"/>
        <v/>
      </c>
      <c r="P436" s="25" t="str">
        <f t="shared" si="40"/>
        <v/>
      </c>
      <c r="Q436" t="str">
        <f t="shared" si="41"/>
        <v/>
      </c>
      <c r="AC436" s="23" t="str">
        <f t="shared" si="36"/>
        <v/>
      </c>
    </row>
    <row r="437" spans="1:29" ht="15" customHeight="1" x14ac:dyDescent="0.2">
      <c r="A437" t="str">
        <f t="shared" si="37"/>
        <v/>
      </c>
      <c r="N437" s="23" t="str">
        <f t="shared" si="38"/>
        <v/>
      </c>
      <c r="O437" s="24" t="str">
        <f t="shared" si="39"/>
        <v/>
      </c>
      <c r="P437" s="25" t="str">
        <f t="shared" si="40"/>
        <v/>
      </c>
      <c r="Q437" t="str">
        <f t="shared" si="41"/>
        <v/>
      </c>
      <c r="AC437" s="23" t="str">
        <f t="shared" si="36"/>
        <v/>
      </c>
    </row>
    <row r="438" spans="1:29" ht="15" customHeight="1" x14ac:dyDescent="0.2">
      <c r="A438" t="str">
        <f t="shared" si="37"/>
        <v/>
      </c>
      <c r="N438" s="23" t="str">
        <f t="shared" si="38"/>
        <v/>
      </c>
      <c r="O438" s="24" t="str">
        <f t="shared" si="39"/>
        <v/>
      </c>
      <c r="P438" s="25" t="str">
        <f t="shared" si="40"/>
        <v/>
      </c>
      <c r="Q438" t="str">
        <f t="shared" si="41"/>
        <v/>
      </c>
      <c r="AC438" s="23" t="str">
        <f t="shared" si="36"/>
        <v/>
      </c>
    </row>
    <row r="439" spans="1:29" ht="15" customHeight="1" x14ac:dyDescent="0.2">
      <c r="A439" t="str">
        <f t="shared" si="37"/>
        <v/>
      </c>
      <c r="N439" s="23" t="str">
        <f t="shared" si="38"/>
        <v/>
      </c>
      <c r="O439" s="24" t="str">
        <f t="shared" si="39"/>
        <v/>
      </c>
      <c r="P439" s="25" t="str">
        <f t="shared" si="40"/>
        <v/>
      </c>
      <c r="Q439" t="str">
        <f t="shared" si="41"/>
        <v/>
      </c>
      <c r="AC439" s="23" t="str">
        <f t="shared" si="36"/>
        <v/>
      </c>
    </row>
    <row r="440" spans="1:29" ht="15" customHeight="1" x14ac:dyDescent="0.2">
      <c r="A440" t="str">
        <f t="shared" si="37"/>
        <v/>
      </c>
      <c r="N440" s="23" t="str">
        <f t="shared" si="38"/>
        <v/>
      </c>
      <c r="O440" s="24" t="str">
        <f t="shared" si="39"/>
        <v/>
      </c>
      <c r="P440" s="25" t="str">
        <f t="shared" si="40"/>
        <v/>
      </c>
      <c r="Q440" t="str">
        <f t="shared" si="41"/>
        <v/>
      </c>
      <c r="AC440" s="23" t="str">
        <f t="shared" si="36"/>
        <v/>
      </c>
    </row>
    <row r="441" spans="1:29" ht="15" customHeight="1" x14ac:dyDescent="0.2">
      <c r="A441" t="str">
        <f t="shared" si="37"/>
        <v/>
      </c>
      <c r="N441" s="23" t="str">
        <f t="shared" si="38"/>
        <v/>
      </c>
      <c r="O441" s="24" t="str">
        <f t="shared" si="39"/>
        <v/>
      </c>
      <c r="P441" s="25" t="str">
        <f t="shared" si="40"/>
        <v/>
      </c>
      <c r="Q441" t="str">
        <f t="shared" si="41"/>
        <v/>
      </c>
      <c r="AC441" s="23" t="str">
        <f t="shared" si="36"/>
        <v/>
      </c>
    </row>
    <row r="442" spans="1:29" ht="15" customHeight="1" x14ac:dyDescent="0.2">
      <c r="A442" t="str">
        <f t="shared" si="37"/>
        <v/>
      </c>
      <c r="N442" s="23" t="str">
        <f t="shared" si="38"/>
        <v/>
      </c>
      <c r="O442" s="24" t="str">
        <f t="shared" si="39"/>
        <v/>
      </c>
      <c r="P442" s="25" t="str">
        <f t="shared" si="40"/>
        <v/>
      </c>
      <c r="Q442" t="str">
        <f t="shared" si="41"/>
        <v/>
      </c>
      <c r="AC442" s="23" t="str">
        <f t="shared" si="36"/>
        <v/>
      </c>
    </row>
    <row r="443" spans="1:29" ht="15" customHeight="1" x14ac:dyDescent="0.2">
      <c r="A443" t="str">
        <f t="shared" si="37"/>
        <v/>
      </c>
      <c r="N443" s="23" t="str">
        <f t="shared" si="38"/>
        <v/>
      </c>
      <c r="O443" s="24" t="str">
        <f t="shared" si="39"/>
        <v/>
      </c>
      <c r="P443" s="25" t="str">
        <f t="shared" si="40"/>
        <v/>
      </c>
      <c r="Q443" t="str">
        <f t="shared" si="41"/>
        <v/>
      </c>
      <c r="AC443" s="23" t="str">
        <f t="shared" si="36"/>
        <v/>
      </c>
    </row>
    <row r="444" spans="1:29" ht="15" customHeight="1" x14ac:dyDescent="0.2">
      <c r="A444" t="str">
        <f t="shared" si="37"/>
        <v/>
      </c>
      <c r="N444" s="23" t="str">
        <f t="shared" si="38"/>
        <v/>
      </c>
      <c r="O444" s="24" t="str">
        <f t="shared" si="39"/>
        <v/>
      </c>
      <c r="P444" s="25" t="str">
        <f t="shared" si="40"/>
        <v/>
      </c>
      <c r="Q444" t="str">
        <f t="shared" si="41"/>
        <v/>
      </c>
      <c r="AC444" s="23" t="str">
        <f t="shared" si="36"/>
        <v/>
      </c>
    </row>
    <row r="445" spans="1:29" ht="15" customHeight="1" x14ac:dyDescent="0.2">
      <c r="A445" t="str">
        <f t="shared" si="37"/>
        <v/>
      </c>
      <c r="N445" s="23" t="str">
        <f t="shared" si="38"/>
        <v/>
      </c>
      <c r="O445" s="24" t="str">
        <f t="shared" si="39"/>
        <v/>
      </c>
      <c r="P445" s="25" t="str">
        <f t="shared" si="40"/>
        <v/>
      </c>
      <c r="Q445" t="str">
        <f t="shared" si="41"/>
        <v/>
      </c>
      <c r="AC445" s="23" t="str">
        <f t="shared" si="36"/>
        <v/>
      </c>
    </row>
    <row r="446" spans="1:29" ht="15" customHeight="1" x14ac:dyDescent="0.2">
      <c r="A446" t="str">
        <f t="shared" si="37"/>
        <v/>
      </c>
      <c r="N446" s="23" t="str">
        <f t="shared" si="38"/>
        <v/>
      </c>
      <c r="O446" s="24" t="str">
        <f t="shared" si="39"/>
        <v/>
      </c>
      <c r="P446" s="25" t="str">
        <f t="shared" si="40"/>
        <v/>
      </c>
      <c r="Q446" t="str">
        <f t="shared" si="41"/>
        <v/>
      </c>
      <c r="AC446" s="23" t="str">
        <f t="shared" si="36"/>
        <v/>
      </c>
    </row>
    <row r="447" spans="1:29" ht="15" customHeight="1" x14ac:dyDescent="0.2">
      <c r="A447" t="str">
        <f t="shared" si="37"/>
        <v/>
      </c>
      <c r="N447" s="23" t="str">
        <f t="shared" si="38"/>
        <v/>
      </c>
      <c r="O447" s="24" t="str">
        <f t="shared" si="39"/>
        <v/>
      </c>
      <c r="P447" s="25" t="str">
        <f t="shared" si="40"/>
        <v/>
      </c>
      <c r="Q447" t="str">
        <f t="shared" si="41"/>
        <v/>
      </c>
      <c r="AC447" s="23" t="str">
        <f t="shared" si="36"/>
        <v/>
      </c>
    </row>
    <row r="448" spans="1:29" ht="15" customHeight="1" x14ac:dyDescent="0.2">
      <c r="A448" t="str">
        <f t="shared" si="37"/>
        <v/>
      </c>
      <c r="N448" s="23" t="str">
        <f t="shared" si="38"/>
        <v/>
      </c>
      <c r="O448" s="24" t="str">
        <f t="shared" si="39"/>
        <v/>
      </c>
      <c r="P448" s="25" t="str">
        <f t="shared" si="40"/>
        <v/>
      </c>
      <c r="Q448" t="str">
        <f t="shared" si="41"/>
        <v/>
      </c>
      <c r="AC448" s="23" t="str">
        <f t="shared" si="36"/>
        <v/>
      </c>
    </row>
    <row r="449" spans="1:29" ht="15" customHeight="1" x14ac:dyDescent="0.2">
      <c r="A449" t="str">
        <f t="shared" si="37"/>
        <v/>
      </c>
      <c r="N449" s="23" t="str">
        <f t="shared" si="38"/>
        <v/>
      </c>
      <c r="O449" s="24" t="str">
        <f t="shared" si="39"/>
        <v/>
      </c>
      <c r="P449" s="25" t="str">
        <f t="shared" si="40"/>
        <v/>
      </c>
      <c r="Q449" t="str">
        <f t="shared" si="41"/>
        <v/>
      </c>
      <c r="AC449" s="23" t="str">
        <f t="shared" si="36"/>
        <v/>
      </c>
    </row>
    <row r="450" spans="1:29" ht="15" customHeight="1" x14ac:dyDescent="0.2">
      <c r="A450" t="str">
        <f t="shared" si="37"/>
        <v/>
      </c>
      <c r="N450" s="23" t="str">
        <f t="shared" si="38"/>
        <v/>
      </c>
      <c r="O450" s="24" t="str">
        <f t="shared" si="39"/>
        <v/>
      </c>
      <c r="P450" s="25" t="str">
        <f t="shared" si="40"/>
        <v/>
      </c>
      <c r="Q450" t="str">
        <f t="shared" si="41"/>
        <v/>
      </c>
      <c r="AC450" s="23" t="str">
        <f t="shared" ref="AC450:AC500" si="42">IF(N450="","",N450-IF(Z450="",0,Z450))</f>
        <v/>
      </c>
    </row>
    <row r="451" spans="1:29" ht="15" customHeight="1" x14ac:dyDescent="0.2">
      <c r="A451" t="str">
        <f t="shared" si="37"/>
        <v/>
      </c>
      <c r="N451" s="23" t="str">
        <f t="shared" si="38"/>
        <v/>
      </c>
      <c r="O451" s="24" t="str">
        <f t="shared" si="39"/>
        <v/>
      </c>
      <c r="P451" s="25" t="str">
        <f t="shared" si="40"/>
        <v/>
      </c>
      <c r="Q451" t="str">
        <f t="shared" si="41"/>
        <v/>
      </c>
      <c r="AC451" s="23" t="str">
        <f t="shared" si="42"/>
        <v/>
      </c>
    </row>
    <row r="452" spans="1:29" ht="15" customHeight="1" x14ac:dyDescent="0.2">
      <c r="A452" t="str">
        <f t="shared" si="37"/>
        <v/>
      </c>
      <c r="N452" s="23" t="str">
        <f t="shared" si="38"/>
        <v/>
      </c>
      <c r="O452" s="24" t="str">
        <f t="shared" si="39"/>
        <v/>
      </c>
      <c r="P452" s="25" t="str">
        <f t="shared" si="40"/>
        <v/>
      </c>
      <c r="Q452" t="str">
        <f t="shared" si="41"/>
        <v/>
      </c>
      <c r="AC452" s="23" t="str">
        <f t="shared" si="42"/>
        <v/>
      </c>
    </row>
    <row r="453" spans="1:29" ht="15" customHeight="1" x14ac:dyDescent="0.2">
      <c r="A453" t="str">
        <f t="shared" si="37"/>
        <v/>
      </c>
      <c r="N453" s="23" t="str">
        <f t="shared" si="38"/>
        <v/>
      </c>
      <c r="O453" s="24" t="str">
        <f t="shared" si="39"/>
        <v/>
      </c>
      <c r="P453" s="25" t="str">
        <f t="shared" si="40"/>
        <v/>
      </c>
      <c r="Q453" t="str">
        <f t="shared" si="41"/>
        <v/>
      </c>
      <c r="AC453" s="23" t="str">
        <f t="shared" si="42"/>
        <v/>
      </c>
    </row>
    <row r="454" spans="1:29" ht="15" customHeight="1" x14ac:dyDescent="0.2">
      <c r="A454" t="str">
        <f t="shared" si="37"/>
        <v/>
      </c>
      <c r="N454" s="23" t="str">
        <f t="shared" si="38"/>
        <v/>
      </c>
      <c r="O454" s="24" t="str">
        <f t="shared" si="39"/>
        <v/>
      </c>
      <c r="P454" s="25" t="str">
        <f t="shared" si="40"/>
        <v/>
      </c>
      <c r="Q454" t="str">
        <f t="shared" si="41"/>
        <v/>
      </c>
      <c r="AC454" s="23" t="str">
        <f t="shared" si="42"/>
        <v/>
      </c>
    </row>
    <row r="455" spans="1:29" ht="15" customHeight="1" x14ac:dyDescent="0.2">
      <c r="A455" t="str">
        <f t="shared" si="37"/>
        <v/>
      </c>
      <c r="N455" s="23" t="str">
        <f t="shared" si="38"/>
        <v/>
      </c>
      <c r="O455" s="24" t="str">
        <f t="shared" si="39"/>
        <v/>
      </c>
      <c r="P455" s="25" t="str">
        <f t="shared" si="40"/>
        <v/>
      </c>
      <c r="Q455" t="str">
        <f t="shared" si="41"/>
        <v/>
      </c>
      <c r="AC455" s="23" t="str">
        <f t="shared" si="42"/>
        <v/>
      </c>
    </row>
    <row r="456" spans="1:29" ht="15" customHeight="1" x14ac:dyDescent="0.2">
      <c r="A456" t="str">
        <f t="shared" si="37"/>
        <v/>
      </c>
      <c r="N456" s="23" t="str">
        <f t="shared" si="38"/>
        <v/>
      </c>
      <c r="O456" s="24" t="str">
        <f t="shared" si="39"/>
        <v/>
      </c>
      <c r="P456" s="25" t="str">
        <f t="shared" si="40"/>
        <v/>
      </c>
      <c r="Q456" t="str">
        <f t="shared" si="41"/>
        <v/>
      </c>
      <c r="AC456" s="23" t="str">
        <f t="shared" si="42"/>
        <v/>
      </c>
    </row>
    <row r="457" spans="1:29" ht="15" customHeight="1" x14ac:dyDescent="0.2">
      <c r="A457" t="str">
        <f t="shared" si="37"/>
        <v/>
      </c>
      <c r="N457" s="23" t="str">
        <f t="shared" si="38"/>
        <v/>
      </c>
      <c r="O457" s="24" t="str">
        <f t="shared" si="39"/>
        <v/>
      </c>
      <c r="P457" s="25" t="str">
        <f t="shared" si="40"/>
        <v/>
      </c>
      <c r="Q457" t="str">
        <f t="shared" si="41"/>
        <v/>
      </c>
      <c r="AC457" s="23" t="str">
        <f t="shared" si="42"/>
        <v/>
      </c>
    </row>
    <row r="458" spans="1:29" ht="15" customHeight="1" x14ac:dyDescent="0.2">
      <c r="A458" t="str">
        <f t="shared" si="37"/>
        <v/>
      </c>
      <c r="N458" s="23" t="str">
        <f t="shared" si="38"/>
        <v/>
      </c>
      <c r="O458" s="24" t="str">
        <f t="shared" si="39"/>
        <v/>
      </c>
      <c r="P458" s="25" t="str">
        <f t="shared" si="40"/>
        <v/>
      </c>
      <c r="Q458" t="str">
        <f t="shared" si="41"/>
        <v/>
      </c>
      <c r="AC458" s="23" t="str">
        <f t="shared" si="42"/>
        <v/>
      </c>
    </row>
    <row r="459" spans="1:29" ht="15" customHeight="1" x14ac:dyDescent="0.2">
      <c r="A459" t="str">
        <f t="shared" si="37"/>
        <v/>
      </c>
      <c r="N459" s="23" t="str">
        <f t="shared" si="38"/>
        <v/>
      </c>
      <c r="O459" s="24" t="str">
        <f t="shared" si="39"/>
        <v/>
      </c>
      <c r="P459" s="25" t="str">
        <f t="shared" si="40"/>
        <v/>
      </c>
      <c r="Q459" t="str">
        <f t="shared" si="41"/>
        <v/>
      </c>
      <c r="AC459" s="23" t="str">
        <f t="shared" si="42"/>
        <v/>
      </c>
    </row>
    <row r="460" spans="1:29" ht="15" customHeight="1" x14ac:dyDescent="0.2">
      <c r="A460" t="str">
        <f t="shared" si="37"/>
        <v/>
      </c>
      <c r="N460" s="23" t="str">
        <f t="shared" si="38"/>
        <v/>
      </c>
      <c r="O460" s="24" t="str">
        <f t="shared" si="39"/>
        <v/>
      </c>
      <c r="P460" s="25" t="str">
        <f t="shared" si="40"/>
        <v/>
      </c>
      <c r="Q460" t="str">
        <f t="shared" si="41"/>
        <v/>
      </c>
      <c r="AC460" s="23" t="str">
        <f t="shared" si="42"/>
        <v/>
      </c>
    </row>
    <row r="461" spans="1:29" ht="15" customHeight="1" x14ac:dyDescent="0.2">
      <c r="A461" t="str">
        <f t="shared" si="37"/>
        <v/>
      </c>
      <c r="N461" s="23" t="str">
        <f t="shared" si="38"/>
        <v/>
      </c>
      <c r="O461" s="24" t="str">
        <f t="shared" si="39"/>
        <v/>
      </c>
      <c r="P461" s="25" t="str">
        <f t="shared" si="40"/>
        <v/>
      </c>
      <c r="Q461" t="str">
        <f t="shared" si="41"/>
        <v/>
      </c>
      <c r="AC461" s="23" t="str">
        <f t="shared" si="42"/>
        <v/>
      </c>
    </row>
    <row r="462" spans="1:29" ht="15" customHeight="1" x14ac:dyDescent="0.2">
      <c r="A462" t="str">
        <f t="shared" ref="A462:A525" si="43">IF(B462="","",ROW()-1)</f>
        <v/>
      </c>
      <c r="N462" s="23" t="str">
        <f t="shared" ref="N462:N500" si="44">IF(OR(K462="",G462="",J462=""),"",IF(E462="LONG",(K462-G462)*J462,(G462-K462)*J462))</f>
        <v/>
      </c>
      <c r="O462" s="24" t="str">
        <f t="shared" ref="O462:O500" si="45">IF(OR(K462="",G462="",G462=0),"",IF(E462="LONG",(K462-G462)/G462,(G462-K462)/G462))</f>
        <v/>
      </c>
      <c r="P462" s="25" t="str">
        <f t="shared" ref="P462:P500" si="46">IF(OR(N462="",H462="",G462="",ABS(G462-H462)=0),"",N462/(ABS(G462-H462)*J462))</f>
        <v/>
      </c>
      <c r="Q462" t="str">
        <f t="shared" ref="Q462:Q500" si="47">IF(N462="","",IF(N462&gt;0,"WIN",IF(N462&lt;0,"LOSS","FLAT")))</f>
        <v/>
      </c>
      <c r="AC462" s="23" t="str">
        <f t="shared" si="42"/>
        <v/>
      </c>
    </row>
    <row r="463" spans="1:29" ht="15" customHeight="1" x14ac:dyDescent="0.2">
      <c r="A463" t="str">
        <f t="shared" si="43"/>
        <v/>
      </c>
      <c r="N463" s="23" t="str">
        <f t="shared" si="44"/>
        <v/>
      </c>
      <c r="O463" s="24" t="str">
        <f t="shared" si="45"/>
        <v/>
      </c>
      <c r="P463" s="25" t="str">
        <f t="shared" si="46"/>
        <v/>
      </c>
      <c r="Q463" t="str">
        <f t="shared" si="47"/>
        <v/>
      </c>
      <c r="AC463" s="23" t="str">
        <f t="shared" si="42"/>
        <v/>
      </c>
    </row>
    <row r="464" spans="1:29" ht="15" customHeight="1" x14ac:dyDescent="0.2">
      <c r="A464" t="str">
        <f t="shared" si="43"/>
        <v/>
      </c>
      <c r="N464" s="23" t="str">
        <f t="shared" si="44"/>
        <v/>
      </c>
      <c r="O464" s="24" t="str">
        <f t="shared" si="45"/>
        <v/>
      </c>
      <c r="P464" s="25" t="str">
        <f t="shared" si="46"/>
        <v/>
      </c>
      <c r="Q464" t="str">
        <f t="shared" si="47"/>
        <v/>
      </c>
      <c r="AC464" s="23" t="str">
        <f t="shared" si="42"/>
        <v/>
      </c>
    </row>
    <row r="465" spans="1:29" ht="15" customHeight="1" x14ac:dyDescent="0.2">
      <c r="A465" t="str">
        <f t="shared" si="43"/>
        <v/>
      </c>
      <c r="N465" s="23" t="str">
        <f t="shared" si="44"/>
        <v/>
      </c>
      <c r="O465" s="24" t="str">
        <f t="shared" si="45"/>
        <v/>
      </c>
      <c r="P465" s="25" t="str">
        <f t="shared" si="46"/>
        <v/>
      </c>
      <c r="Q465" t="str">
        <f t="shared" si="47"/>
        <v/>
      </c>
      <c r="AC465" s="23" t="str">
        <f t="shared" si="42"/>
        <v/>
      </c>
    </row>
    <row r="466" spans="1:29" ht="15" customHeight="1" x14ac:dyDescent="0.2">
      <c r="A466" t="str">
        <f t="shared" si="43"/>
        <v/>
      </c>
      <c r="N466" s="23" t="str">
        <f t="shared" si="44"/>
        <v/>
      </c>
      <c r="O466" s="24" t="str">
        <f t="shared" si="45"/>
        <v/>
      </c>
      <c r="P466" s="25" t="str">
        <f t="shared" si="46"/>
        <v/>
      </c>
      <c r="Q466" t="str">
        <f t="shared" si="47"/>
        <v/>
      </c>
      <c r="AC466" s="23" t="str">
        <f t="shared" si="42"/>
        <v/>
      </c>
    </row>
    <row r="467" spans="1:29" ht="15" customHeight="1" x14ac:dyDescent="0.2">
      <c r="A467" t="str">
        <f t="shared" si="43"/>
        <v/>
      </c>
      <c r="N467" s="23" t="str">
        <f t="shared" si="44"/>
        <v/>
      </c>
      <c r="O467" s="24" t="str">
        <f t="shared" si="45"/>
        <v/>
      </c>
      <c r="P467" s="25" t="str">
        <f t="shared" si="46"/>
        <v/>
      </c>
      <c r="Q467" t="str">
        <f t="shared" si="47"/>
        <v/>
      </c>
      <c r="AC467" s="23" t="str">
        <f t="shared" si="42"/>
        <v/>
      </c>
    </row>
    <row r="468" spans="1:29" ht="15" customHeight="1" x14ac:dyDescent="0.2">
      <c r="A468" t="str">
        <f t="shared" si="43"/>
        <v/>
      </c>
      <c r="N468" s="23" t="str">
        <f t="shared" si="44"/>
        <v/>
      </c>
      <c r="O468" s="24" t="str">
        <f t="shared" si="45"/>
        <v/>
      </c>
      <c r="P468" s="25" t="str">
        <f t="shared" si="46"/>
        <v/>
      </c>
      <c r="Q468" t="str">
        <f t="shared" si="47"/>
        <v/>
      </c>
      <c r="AC468" s="23" t="str">
        <f t="shared" si="42"/>
        <v/>
      </c>
    </row>
    <row r="469" spans="1:29" ht="15" customHeight="1" x14ac:dyDescent="0.2">
      <c r="A469" t="str">
        <f t="shared" si="43"/>
        <v/>
      </c>
      <c r="N469" s="23" t="str">
        <f t="shared" si="44"/>
        <v/>
      </c>
      <c r="O469" s="24" t="str">
        <f t="shared" si="45"/>
        <v/>
      </c>
      <c r="P469" s="25" t="str">
        <f t="shared" si="46"/>
        <v/>
      </c>
      <c r="Q469" t="str">
        <f t="shared" si="47"/>
        <v/>
      </c>
      <c r="AC469" s="23" t="str">
        <f t="shared" si="42"/>
        <v/>
      </c>
    </row>
    <row r="470" spans="1:29" ht="15" customHeight="1" x14ac:dyDescent="0.2">
      <c r="A470" t="str">
        <f t="shared" si="43"/>
        <v/>
      </c>
      <c r="N470" s="23" t="str">
        <f t="shared" si="44"/>
        <v/>
      </c>
      <c r="O470" s="24" t="str">
        <f t="shared" si="45"/>
        <v/>
      </c>
      <c r="P470" s="25" t="str">
        <f t="shared" si="46"/>
        <v/>
      </c>
      <c r="Q470" t="str">
        <f t="shared" si="47"/>
        <v/>
      </c>
      <c r="AC470" s="23" t="str">
        <f t="shared" si="42"/>
        <v/>
      </c>
    </row>
    <row r="471" spans="1:29" ht="15" customHeight="1" x14ac:dyDescent="0.2">
      <c r="A471" t="str">
        <f t="shared" si="43"/>
        <v/>
      </c>
      <c r="N471" s="23" t="str">
        <f t="shared" si="44"/>
        <v/>
      </c>
      <c r="O471" s="24" t="str">
        <f t="shared" si="45"/>
        <v/>
      </c>
      <c r="P471" s="25" t="str">
        <f t="shared" si="46"/>
        <v/>
      </c>
      <c r="Q471" t="str">
        <f t="shared" si="47"/>
        <v/>
      </c>
      <c r="AC471" s="23" t="str">
        <f t="shared" si="42"/>
        <v/>
      </c>
    </row>
    <row r="472" spans="1:29" ht="15" customHeight="1" x14ac:dyDescent="0.2">
      <c r="A472" t="str">
        <f t="shared" si="43"/>
        <v/>
      </c>
      <c r="N472" s="23" t="str">
        <f t="shared" si="44"/>
        <v/>
      </c>
      <c r="O472" s="24" t="str">
        <f t="shared" si="45"/>
        <v/>
      </c>
      <c r="P472" s="25" t="str">
        <f t="shared" si="46"/>
        <v/>
      </c>
      <c r="Q472" t="str">
        <f t="shared" si="47"/>
        <v/>
      </c>
      <c r="AC472" s="23" t="str">
        <f t="shared" si="42"/>
        <v/>
      </c>
    </row>
    <row r="473" spans="1:29" ht="15" customHeight="1" x14ac:dyDescent="0.2">
      <c r="A473" t="str">
        <f t="shared" si="43"/>
        <v/>
      </c>
      <c r="N473" s="23" t="str">
        <f t="shared" si="44"/>
        <v/>
      </c>
      <c r="O473" s="24" t="str">
        <f t="shared" si="45"/>
        <v/>
      </c>
      <c r="P473" s="25" t="str">
        <f t="shared" si="46"/>
        <v/>
      </c>
      <c r="Q473" t="str">
        <f t="shared" si="47"/>
        <v/>
      </c>
      <c r="AC473" s="23" t="str">
        <f t="shared" si="42"/>
        <v/>
      </c>
    </row>
    <row r="474" spans="1:29" ht="15" customHeight="1" x14ac:dyDescent="0.2">
      <c r="A474" t="str">
        <f t="shared" si="43"/>
        <v/>
      </c>
      <c r="N474" s="23" t="str">
        <f t="shared" si="44"/>
        <v/>
      </c>
      <c r="O474" s="24" t="str">
        <f t="shared" si="45"/>
        <v/>
      </c>
      <c r="P474" s="25" t="str">
        <f t="shared" si="46"/>
        <v/>
      </c>
      <c r="Q474" t="str">
        <f t="shared" si="47"/>
        <v/>
      </c>
      <c r="AC474" s="23" t="str">
        <f t="shared" si="42"/>
        <v/>
      </c>
    </row>
    <row r="475" spans="1:29" ht="15" customHeight="1" x14ac:dyDescent="0.2">
      <c r="A475" t="str">
        <f t="shared" si="43"/>
        <v/>
      </c>
      <c r="N475" s="23" t="str">
        <f t="shared" si="44"/>
        <v/>
      </c>
      <c r="O475" s="24" t="str">
        <f t="shared" si="45"/>
        <v/>
      </c>
      <c r="P475" s="25" t="str">
        <f t="shared" si="46"/>
        <v/>
      </c>
      <c r="Q475" t="str">
        <f t="shared" si="47"/>
        <v/>
      </c>
      <c r="AC475" s="23" t="str">
        <f t="shared" si="42"/>
        <v/>
      </c>
    </row>
    <row r="476" spans="1:29" ht="15" customHeight="1" x14ac:dyDescent="0.2">
      <c r="A476" t="str">
        <f t="shared" si="43"/>
        <v/>
      </c>
      <c r="N476" s="23" t="str">
        <f t="shared" si="44"/>
        <v/>
      </c>
      <c r="O476" s="24" t="str">
        <f t="shared" si="45"/>
        <v/>
      </c>
      <c r="P476" s="25" t="str">
        <f t="shared" si="46"/>
        <v/>
      </c>
      <c r="Q476" t="str">
        <f t="shared" si="47"/>
        <v/>
      </c>
      <c r="AC476" s="23" t="str">
        <f t="shared" si="42"/>
        <v/>
      </c>
    </row>
    <row r="477" spans="1:29" ht="15" customHeight="1" x14ac:dyDescent="0.2">
      <c r="A477" t="str">
        <f t="shared" si="43"/>
        <v/>
      </c>
      <c r="N477" s="23" t="str">
        <f t="shared" si="44"/>
        <v/>
      </c>
      <c r="O477" s="24" t="str">
        <f t="shared" si="45"/>
        <v/>
      </c>
      <c r="P477" s="25" t="str">
        <f t="shared" si="46"/>
        <v/>
      </c>
      <c r="Q477" t="str">
        <f t="shared" si="47"/>
        <v/>
      </c>
      <c r="AC477" s="23" t="str">
        <f t="shared" si="42"/>
        <v/>
      </c>
    </row>
    <row r="478" spans="1:29" ht="15" customHeight="1" x14ac:dyDescent="0.2">
      <c r="A478" t="str">
        <f t="shared" si="43"/>
        <v/>
      </c>
      <c r="N478" s="23" t="str">
        <f t="shared" si="44"/>
        <v/>
      </c>
      <c r="O478" s="24" t="str">
        <f t="shared" si="45"/>
        <v/>
      </c>
      <c r="P478" s="25" t="str">
        <f t="shared" si="46"/>
        <v/>
      </c>
      <c r="Q478" t="str">
        <f t="shared" si="47"/>
        <v/>
      </c>
      <c r="AC478" s="23" t="str">
        <f t="shared" si="42"/>
        <v/>
      </c>
    </row>
    <row r="479" spans="1:29" ht="15" customHeight="1" x14ac:dyDescent="0.2">
      <c r="A479" t="str">
        <f t="shared" si="43"/>
        <v/>
      </c>
      <c r="N479" s="23" t="str">
        <f t="shared" si="44"/>
        <v/>
      </c>
      <c r="O479" s="24" t="str">
        <f t="shared" si="45"/>
        <v/>
      </c>
      <c r="P479" s="25" t="str">
        <f t="shared" si="46"/>
        <v/>
      </c>
      <c r="Q479" t="str">
        <f t="shared" si="47"/>
        <v/>
      </c>
      <c r="AC479" s="23" t="str">
        <f t="shared" si="42"/>
        <v/>
      </c>
    </row>
    <row r="480" spans="1:29" ht="15" customHeight="1" x14ac:dyDescent="0.2">
      <c r="A480" t="str">
        <f t="shared" si="43"/>
        <v/>
      </c>
      <c r="N480" s="23" t="str">
        <f t="shared" si="44"/>
        <v/>
      </c>
      <c r="O480" s="24" t="str">
        <f t="shared" si="45"/>
        <v/>
      </c>
      <c r="P480" s="25" t="str">
        <f t="shared" si="46"/>
        <v/>
      </c>
      <c r="Q480" t="str">
        <f t="shared" si="47"/>
        <v/>
      </c>
      <c r="AC480" s="23" t="str">
        <f t="shared" si="42"/>
        <v/>
      </c>
    </row>
    <row r="481" spans="1:29" ht="15" customHeight="1" x14ac:dyDescent="0.2">
      <c r="A481" t="str">
        <f t="shared" si="43"/>
        <v/>
      </c>
      <c r="N481" s="23" t="str">
        <f t="shared" si="44"/>
        <v/>
      </c>
      <c r="O481" s="24" t="str">
        <f t="shared" si="45"/>
        <v/>
      </c>
      <c r="P481" s="25" t="str">
        <f t="shared" si="46"/>
        <v/>
      </c>
      <c r="Q481" t="str">
        <f t="shared" si="47"/>
        <v/>
      </c>
      <c r="AC481" s="23" t="str">
        <f t="shared" si="42"/>
        <v/>
      </c>
    </row>
    <row r="482" spans="1:29" ht="15" customHeight="1" x14ac:dyDescent="0.2">
      <c r="A482" t="str">
        <f t="shared" si="43"/>
        <v/>
      </c>
      <c r="N482" s="23" t="str">
        <f t="shared" si="44"/>
        <v/>
      </c>
      <c r="O482" s="24" t="str">
        <f t="shared" si="45"/>
        <v/>
      </c>
      <c r="P482" s="25" t="str">
        <f t="shared" si="46"/>
        <v/>
      </c>
      <c r="Q482" t="str">
        <f t="shared" si="47"/>
        <v/>
      </c>
      <c r="AC482" s="23" t="str">
        <f t="shared" si="42"/>
        <v/>
      </c>
    </row>
    <row r="483" spans="1:29" ht="15" customHeight="1" x14ac:dyDescent="0.2">
      <c r="A483" t="str">
        <f t="shared" si="43"/>
        <v/>
      </c>
      <c r="N483" s="23" t="str">
        <f t="shared" si="44"/>
        <v/>
      </c>
      <c r="O483" s="24" t="str">
        <f t="shared" si="45"/>
        <v/>
      </c>
      <c r="P483" s="25" t="str">
        <f t="shared" si="46"/>
        <v/>
      </c>
      <c r="Q483" t="str">
        <f t="shared" si="47"/>
        <v/>
      </c>
      <c r="AC483" s="23" t="str">
        <f t="shared" si="42"/>
        <v/>
      </c>
    </row>
    <row r="484" spans="1:29" ht="15" customHeight="1" x14ac:dyDescent="0.2">
      <c r="A484" t="str">
        <f t="shared" si="43"/>
        <v/>
      </c>
      <c r="N484" s="23" t="str">
        <f t="shared" si="44"/>
        <v/>
      </c>
      <c r="O484" s="24" t="str">
        <f t="shared" si="45"/>
        <v/>
      </c>
      <c r="P484" s="25" t="str">
        <f t="shared" si="46"/>
        <v/>
      </c>
      <c r="Q484" t="str">
        <f t="shared" si="47"/>
        <v/>
      </c>
      <c r="AC484" s="23" t="str">
        <f t="shared" si="42"/>
        <v/>
      </c>
    </row>
    <row r="485" spans="1:29" ht="15" customHeight="1" x14ac:dyDescent="0.2">
      <c r="A485" t="str">
        <f t="shared" si="43"/>
        <v/>
      </c>
      <c r="N485" s="23" t="str">
        <f t="shared" si="44"/>
        <v/>
      </c>
      <c r="O485" s="24" t="str">
        <f t="shared" si="45"/>
        <v/>
      </c>
      <c r="P485" s="25" t="str">
        <f t="shared" si="46"/>
        <v/>
      </c>
      <c r="Q485" t="str">
        <f t="shared" si="47"/>
        <v/>
      </c>
      <c r="AC485" s="23" t="str">
        <f t="shared" si="42"/>
        <v/>
      </c>
    </row>
    <row r="486" spans="1:29" ht="15" customHeight="1" x14ac:dyDescent="0.2">
      <c r="A486" t="str">
        <f t="shared" si="43"/>
        <v/>
      </c>
      <c r="N486" s="23" t="str">
        <f t="shared" si="44"/>
        <v/>
      </c>
      <c r="O486" s="24" t="str">
        <f t="shared" si="45"/>
        <v/>
      </c>
      <c r="P486" s="25" t="str">
        <f t="shared" si="46"/>
        <v/>
      </c>
      <c r="Q486" t="str">
        <f t="shared" si="47"/>
        <v/>
      </c>
      <c r="AC486" s="23" t="str">
        <f t="shared" si="42"/>
        <v/>
      </c>
    </row>
    <row r="487" spans="1:29" ht="15" customHeight="1" x14ac:dyDescent="0.2">
      <c r="A487" t="str">
        <f t="shared" si="43"/>
        <v/>
      </c>
      <c r="N487" s="23" t="str">
        <f t="shared" si="44"/>
        <v/>
      </c>
      <c r="O487" s="24" t="str">
        <f t="shared" si="45"/>
        <v/>
      </c>
      <c r="P487" s="25" t="str">
        <f t="shared" si="46"/>
        <v/>
      </c>
      <c r="Q487" t="str">
        <f t="shared" si="47"/>
        <v/>
      </c>
      <c r="AC487" s="23" t="str">
        <f t="shared" si="42"/>
        <v/>
      </c>
    </row>
    <row r="488" spans="1:29" ht="15" customHeight="1" x14ac:dyDescent="0.2">
      <c r="A488" t="str">
        <f t="shared" si="43"/>
        <v/>
      </c>
      <c r="N488" s="23" t="str">
        <f t="shared" si="44"/>
        <v/>
      </c>
      <c r="O488" s="24" t="str">
        <f t="shared" si="45"/>
        <v/>
      </c>
      <c r="P488" s="25" t="str">
        <f t="shared" si="46"/>
        <v/>
      </c>
      <c r="Q488" t="str">
        <f t="shared" si="47"/>
        <v/>
      </c>
      <c r="AC488" s="23" t="str">
        <f t="shared" si="42"/>
        <v/>
      </c>
    </row>
    <row r="489" spans="1:29" ht="15" customHeight="1" x14ac:dyDescent="0.2">
      <c r="A489" t="str">
        <f t="shared" si="43"/>
        <v/>
      </c>
      <c r="N489" s="23" t="str">
        <f t="shared" si="44"/>
        <v/>
      </c>
      <c r="O489" s="24" t="str">
        <f t="shared" si="45"/>
        <v/>
      </c>
      <c r="P489" s="25" t="str">
        <f t="shared" si="46"/>
        <v/>
      </c>
      <c r="Q489" t="str">
        <f t="shared" si="47"/>
        <v/>
      </c>
      <c r="AC489" s="23" t="str">
        <f t="shared" si="42"/>
        <v/>
      </c>
    </row>
    <row r="490" spans="1:29" ht="15" customHeight="1" x14ac:dyDescent="0.2">
      <c r="A490" t="str">
        <f t="shared" si="43"/>
        <v/>
      </c>
      <c r="N490" s="23" t="str">
        <f t="shared" si="44"/>
        <v/>
      </c>
      <c r="O490" s="24" t="str">
        <f t="shared" si="45"/>
        <v/>
      </c>
      <c r="P490" s="25" t="str">
        <f t="shared" si="46"/>
        <v/>
      </c>
      <c r="Q490" t="str">
        <f t="shared" si="47"/>
        <v/>
      </c>
      <c r="AC490" s="23" t="str">
        <f t="shared" si="42"/>
        <v/>
      </c>
    </row>
    <row r="491" spans="1:29" ht="15" customHeight="1" x14ac:dyDescent="0.2">
      <c r="A491" t="str">
        <f t="shared" si="43"/>
        <v/>
      </c>
      <c r="N491" s="23" t="str">
        <f t="shared" si="44"/>
        <v/>
      </c>
      <c r="O491" s="24" t="str">
        <f t="shared" si="45"/>
        <v/>
      </c>
      <c r="P491" s="25" t="str">
        <f t="shared" si="46"/>
        <v/>
      </c>
      <c r="Q491" t="str">
        <f t="shared" si="47"/>
        <v/>
      </c>
      <c r="AC491" s="23" t="str">
        <f t="shared" si="42"/>
        <v/>
      </c>
    </row>
    <row r="492" spans="1:29" ht="15" customHeight="1" x14ac:dyDescent="0.2">
      <c r="A492" t="str">
        <f t="shared" si="43"/>
        <v/>
      </c>
      <c r="N492" s="23" t="str">
        <f t="shared" si="44"/>
        <v/>
      </c>
      <c r="O492" s="24" t="str">
        <f t="shared" si="45"/>
        <v/>
      </c>
      <c r="P492" s="25" t="str">
        <f t="shared" si="46"/>
        <v/>
      </c>
      <c r="Q492" t="str">
        <f t="shared" si="47"/>
        <v/>
      </c>
      <c r="AC492" s="23" t="str">
        <f t="shared" si="42"/>
        <v/>
      </c>
    </row>
    <row r="493" spans="1:29" ht="15" customHeight="1" x14ac:dyDescent="0.2">
      <c r="A493" t="str">
        <f t="shared" si="43"/>
        <v/>
      </c>
      <c r="N493" s="23" t="str">
        <f t="shared" si="44"/>
        <v/>
      </c>
      <c r="O493" s="24" t="str">
        <f t="shared" si="45"/>
        <v/>
      </c>
      <c r="P493" s="25" t="str">
        <f t="shared" si="46"/>
        <v/>
      </c>
      <c r="Q493" t="str">
        <f t="shared" si="47"/>
        <v/>
      </c>
      <c r="AC493" s="23" t="str">
        <f t="shared" si="42"/>
        <v/>
      </c>
    </row>
    <row r="494" spans="1:29" ht="15" customHeight="1" x14ac:dyDescent="0.2">
      <c r="A494" t="str">
        <f t="shared" si="43"/>
        <v/>
      </c>
      <c r="N494" s="23" t="str">
        <f t="shared" si="44"/>
        <v/>
      </c>
      <c r="O494" s="24" t="str">
        <f t="shared" si="45"/>
        <v/>
      </c>
      <c r="P494" s="25" t="str">
        <f t="shared" si="46"/>
        <v/>
      </c>
      <c r="Q494" t="str">
        <f t="shared" si="47"/>
        <v/>
      </c>
      <c r="AC494" s="23" t="str">
        <f t="shared" si="42"/>
        <v/>
      </c>
    </row>
    <row r="495" spans="1:29" ht="15" customHeight="1" x14ac:dyDescent="0.2">
      <c r="A495" t="str">
        <f t="shared" si="43"/>
        <v/>
      </c>
      <c r="N495" s="23" t="str">
        <f t="shared" si="44"/>
        <v/>
      </c>
      <c r="O495" s="24" t="str">
        <f t="shared" si="45"/>
        <v/>
      </c>
      <c r="P495" s="25" t="str">
        <f t="shared" si="46"/>
        <v/>
      </c>
      <c r="Q495" t="str">
        <f t="shared" si="47"/>
        <v/>
      </c>
      <c r="AC495" s="23" t="str">
        <f t="shared" si="42"/>
        <v/>
      </c>
    </row>
    <row r="496" spans="1:29" ht="15" customHeight="1" x14ac:dyDescent="0.2">
      <c r="A496" t="str">
        <f t="shared" si="43"/>
        <v/>
      </c>
      <c r="N496" s="23" t="str">
        <f t="shared" si="44"/>
        <v/>
      </c>
      <c r="O496" s="24" t="str">
        <f t="shared" si="45"/>
        <v/>
      </c>
      <c r="P496" s="25" t="str">
        <f t="shared" si="46"/>
        <v/>
      </c>
      <c r="Q496" t="str">
        <f t="shared" si="47"/>
        <v/>
      </c>
      <c r="AC496" s="23" t="str">
        <f t="shared" si="42"/>
        <v/>
      </c>
    </row>
    <row r="497" spans="1:29" ht="15" customHeight="1" x14ac:dyDescent="0.2">
      <c r="A497" t="str">
        <f t="shared" si="43"/>
        <v/>
      </c>
      <c r="N497" s="23" t="str">
        <f t="shared" si="44"/>
        <v/>
      </c>
      <c r="O497" s="24" t="str">
        <f t="shared" si="45"/>
        <v/>
      </c>
      <c r="P497" s="25" t="str">
        <f t="shared" si="46"/>
        <v/>
      </c>
      <c r="Q497" t="str">
        <f t="shared" si="47"/>
        <v/>
      </c>
      <c r="AC497" s="23" t="str">
        <f t="shared" si="42"/>
        <v/>
      </c>
    </row>
    <row r="498" spans="1:29" ht="15" customHeight="1" x14ac:dyDescent="0.2">
      <c r="A498" t="str">
        <f t="shared" si="43"/>
        <v/>
      </c>
      <c r="N498" s="23" t="str">
        <f t="shared" si="44"/>
        <v/>
      </c>
      <c r="O498" s="24" t="str">
        <f t="shared" si="45"/>
        <v/>
      </c>
      <c r="P498" s="25" t="str">
        <f t="shared" si="46"/>
        <v/>
      </c>
      <c r="Q498" t="str">
        <f t="shared" si="47"/>
        <v/>
      </c>
      <c r="AC498" s="23" t="str">
        <f t="shared" si="42"/>
        <v/>
      </c>
    </row>
    <row r="499" spans="1:29" ht="15" customHeight="1" x14ac:dyDescent="0.2">
      <c r="A499" t="str">
        <f t="shared" si="43"/>
        <v/>
      </c>
      <c r="N499" s="23" t="str">
        <f t="shared" si="44"/>
        <v/>
      </c>
      <c r="O499" s="24" t="str">
        <f t="shared" si="45"/>
        <v/>
      </c>
      <c r="P499" s="25" t="str">
        <f t="shared" si="46"/>
        <v/>
      </c>
      <c r="Q499" t="str">
        <f t="shared" si="47"/>
        <v/>
      </c>
      <c r="AC499" s="23" t="str">
        <f t="shared" si="42"/>
        <v/>
      </c>
    </row>
    <row r="500" spans="1:29" ht="15" customHeight="1" x14ac:dyDescent="0.2">
      <c r="A500" t="str">
        <f t="shared" si="43"/>
        <v/>
      </c>
      <c r="N500" s="23" t="str">
        <f t="shared" si="44"/>
        <v/>
      </c>
      <c r="O500" s="24" t="str">
        <f t="shared" si="45"/>
        <v/>
      </c>
      <c r="P500" s="25" t="str">
        <f t="shared" si="46"/>
        <v/>
      </c>
      <c r="Q500" t="str">
        <f t="shared" si="47"/>
        <v/>
      </c>
      <c r="AC500" s="23" t="str">
        <f t="shared" si="42"/>
        <v/>
      </c>
    </row>
  </sheetData>
  <autoFilter ref="A1:AC1" xr:uid="{00000000-0009-0000-0000-000001000000}"/>
  <conditionalFormatting sqref="N2:N1000">
    <cfRule type="cellIs" dxfId="12" priority="4" operator="greaterThan">
      <formula>0</formula>
    </cfRule>
    <cfRule type="cellIs" dxfId="11" priority="5" operator="lessThan">
      <formula>0</formula>
    </cfRule>
  </conditionalFormatting>
  <conditionalFormatting sqref="Q2:Q1000">
    <cfRule type="cellIs" dxfId="10" priority="2" operator="equal">
      <formula>"WIN"</formula>
    </cfRule>
    <cfRule type="cellIs" dxfId="9" priority="3" operator="equal">
      <formula>"LOSS"</formula>
    </cfRule>
  </conditionalFormatting>
  <conditionalFormatting sqref="U2:U1000">
    <cfRule type="cellIs" dxfId="8" priority="6" operator="equal">
      <formula>"A"</formula>
    </cfRule>
    <cfRule type="cellIs" dxfId="7" priority="7" operator="equal">
      <formula>"C"</formula>
    </cfRule>
    <cfRule type="cellIs" dxfId="6" priority="8" operator="equal">
      <formula>"B"</formula>
    </cfRule>
  </conditionalFormatting>
  <conditionalFormatting sqref="V2:V1000">
    <cfRule type="cellIs" dxfId="5" priority="9" operator="equal">
      <formula>"Y"</formula>
    </cfRule>
    <cfRule type="cellIs" dxfId="4" priority="10" operator="equal">
      <formula>"N"</formula>
    </cfRule>
  </conditionalFormatting>
  <conditionalFormatting sqref="AC2:AC1000">
    <cfRule type="cellIs" dxfId="3" priority="11" operator="greaterThan">
      <formula>0</formula>
    </cfRule>
    <cfRule type="cellIs" dxfId="2" priority="12" operator="lessThan">
      <formula>0</formula>
    </cfRule>
  </conditionalFormatting>
  <dataValidations count="8">
    <dataValidation type="list" allowBlank="1" error="Must be LONG or SHORT" sqref="E2:E1000" xr:uid="{00000000-0002-0000-0100-000000000000}">
      <formula1>"LONG,SHORT"</formula1>
      <formula2>0</formula2>
    </dataValidation>
    <dataValidation type="list" allowBlank="1" sqref="F2:F1000" xr:uid="{00000000-0002-0000-0100-000001000000}">
      <formula1>"BOX_REV,MANIP,VWAP_SEP,EMA9_SEP,VWAP_KISS,EMA_PULL,EMA_RETEST"</formula1>
      <formula2>0</formula2>
    </dataValidation>
    <dataValidation type="list" allowBlank="1" sqref="M2:M1000" xr:uid="{00000000-0002-0000-0100-000002000000}">
      <formula1>"Target Hit,Stop Hit,Trailing Stop,Time Exit,Manual,Partial"</formula1>
      <formula2>0</formula2>
    </dataValidation>
    <dataValidation type="list" allowBlank="1" error="Must be A, B, or C" sqref="U2:U1000" xr:uid="{00000000-0002-0000-0100-000003000000}">
      <formula1>"A,B,C"</formula1>
      <formula2>0</formula2>
    </dataValidation>
    <dataValidation type="list" allowBlank="1" sqref="V2:V1000" xr:uid="{00000000-0002-0000-0100-000004000000}">
      <formula1>"Y,N"</formula1>
      <formula2>0</formula2>
    </dataValidation>
    <dataValidation type="list" allowBlank="1" sqref="W2:W1000" xr:uid="{00000000-0002-0000-0100-000005000000}">
      <formula1>"Calm,Focused,Hesitant,Frustrated,FOMO,Revenge,Tired,Distracted"</formula1>
      <formula2>0</formula2>
    </dataValidation>
    <dataValidation type="list" allowBlank="1" sqref="X2:X1000" xr:uid="{00000000-0002-0000-0100-000006000000}">
      <formula1>"None,Chased Entry,Early Exit,Late Exit,No Stop,Moved Stop,Oversized,Forced Trade,Ignored HTF,Traded Into News,FOMO Entry,Revenge Trade"</formula1>
      <formula2>0</formula2>
    </dataValidation>
    <dataValidation type="list" allowBlank="1" sqref="Y2:Y1000" xr:uid="{00000000-0002-0000-0100-000007000000}">
      <formula1>"Trend,Rotation,Choppy,High Vol,Low Vol"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5090"/>
  </sheetPr>
  <dimension ref="A1:K85"/>
  <sheetViews>
    <sheetView zoomScaleNormal="100" workbookViewId="0">
      <selection activeCell="C11" sqref="C11"/>
    </sheetView>
  </sheetViews>
  <sheetFormatPr baseColWidth="10" defaultColWidth="8.6640625" defaultRowHeight="15" customHeight="1" x14ac:dyDescent="0.2"/>
  <cols>
    <col min="2" max="10" width="16" customWidth="1"/>
    <col min="11" max="11" width="14" customWidth="1"/>
  </cols>
  <sheetData>
    <row r="1" spans="1:11" ht="34.5" customHeight="1" x14ac:dyDescent="0.2">
      <c r="A1" s="2" t="s">
        <v>63</v>
      </c>
      <c r="B1" s="2"/>
      <c r="C1" s="2"/>
      <c r="D1" s="2"/>
      <c r="E1" s="2"/>
      <c r="F1" s="2"/>
      <c r="G1" s="2"/>
      <c r="H1" s="2"/>
    </row>
    <row r="2" spans="1:11" ht="15" customHeight="1" x14ac:dyDescent="0.2">
      <c r="B2" s="26" t="s">
        <v>64</v>
      </c>
      <c r="C2" s="26" t="s">
        <v>65</v>
      </c>
      <c r="D2" s="26" t="s">
        <v>66</v>
      </c>
      <c r="E2" s="26" t="s">
        <v>67</v>
      </c>
      <c r="F2" s="26" t="s">
        <v>68</v>
      </c>
      <c r="G2" s="26" t="s">
        <v>69</v>
      </c>
      <c r="H2" s="26" t="s">
        <v>70</v>
      </c>
      <c r="I2" s="26" t="s">
        <v>71</v>
      </c>
      <c r="J2" s="26" t="s">
        <v>56</v>
      </c>
      <c r="K2" s="26" t="s">
        <v>72</v>
      </c>
    </row>
    <row r="3" spans="1:11" ht="21.75" customHeight="1" x14ac:dyDescent="0.2">
      <c r="B3" s="27">
        <f>COUNTIF('Trade Log'!Q2:Q1000,"WIN")+COUNTIF('Trade Log'!Q2:Q1000,"LOSS")+COUNTIF('Trade Log'!Q2:Q1000,"FLAT")</f>
        <v>5</v>
      </c>
      <c r="C3" s="28">
        <f>IF(B3=0,"-",COUNTIF('Trade Log'!Q2:Q1000,"WIN")/(COUNTIF('Trade Log'!Q2:Q1000,"WIN")+COUNTIF('Trade Log'!Q2:Q1000,"LOSS")+COUNTIF('Trade Log'!Q2:Q1000,"FLAT")))</f>
        <v>0.8</v>
      </c>
      <c r="D3" s="29">
        <f>SUMIF('Trade Log'!N2:N500,"&gt;0")+SUMIF('Trade Log'!N2:N500,"&lt;0")</f>
        <v>90</v>
      </c>
      <c r="E3" s="29">
        <f>IF(COUNTIF('Trade Log'!Q2:Q1000,"WIN")=0,"-",AVERAGEIF('Trade Log'!Q2:Q1000,"WIN",'Trade Log'!N2:N1000))</f>
        <v>23.75</v>
      </c>
      <c r="F3" s="29">
        <f>IF(COUNTIF('Trade Log'!Q2:Q1000,"LOSS")=0,"-",AVERAGEIF('Trade Log'!Q2:Q1000,"LOSS",'Trade Log'!N2:N1000))</f>
        <v>-5</v>
      </c>
      <c r="G3" s="30">
        <f>IF(SUMIF('Trade Log'!N2:N500,"&lt;0")=0,"-",SUMIF('Trade Log'!N2:N500,"&gt;0")/ABS(SUMIF('Trade Log'!N2:N500,"&lt;0")))</f>
        <v>19</v>
      </c>
      <c r="H3" s="30">
        <f>IFERROR(IF(COUNTA('Trade Log'!P2:R1000)=0,"-",AVERAGE('Trade Log'!P2:R1000)),"-")</f>
        <v>17</v>
      </c>
      <c r="I3" s="29">
        <f>IF(B3=0,"-",D3/B3)</f>
        <v>18</v>
      </c>
      <c r="J3" s="29">
        <f>SUMIF('Trade Log'!AC2:AC500,"&gt;0")+SUMIF('Trade Log'!AC2:AC500,"&lt;0")</f>
        <v>90</v>
      </c>
      <c r="K3" s="29">
        <f>SUMIF('Trade Log'!Z2:Z500,"&gt;0")</f>
        <v>0</v>
      </c>
    </row>
    <row r="5" spans="1:11" ht="15" customHeight="1" x14ac:dyDescent="0.2">
      <c r="B5" s="31" t="s">
        <v>73</v>
      </c>
    </row>
    <row r="6" spans="1:11" ht="26.25" customHeight="1" x14ac:dyDescent="0.2">
      <c r="A6" s="32"/>
      <c r="B6" s="4" t="s">
        <v>33</v>
      </c>
      <c r="C6" s="4" t="s">
        <v>74</v>
      </c>
      <c r="D6" s="4" t="s">
        <v>75</v>
      </c>
      <c r="E6" s="4" t="s">
        <v>65</v>
      </c>
      <c r="F6" s="4" t="s">
        <v>76</v>
      </c>
      <c r="G6" s="4" t="s">
        <v>66</v>
      </c>
      <c r="H6" s="4" t="s">
        <v>77</v>
      </c>
      <c r="I6" s="4" t="s">
        <v>78</v>
      </c>
      <c r="J6" s="4" t="s">
        <v>79</v>
      </c>
    </row>
    <row r="7" spans="1:11" ht="15" customHeight="1" x14ac:dyDescent="0.2">
      <c r="B7" s="33" t="s">
        <v>80</v>
      </c>
      <c r="C7" s="34">
        <f>COUNTIF('Trade Log'!F:F,"BOX_REV")</f>
        <v>0</v>
      </c>
      <c r="D7" s="34">
        <f>COUNTIFS('Trade Log'!F:F,"BOX_REV",'Trade Log'!Q:Q,"WIN")</f>
        <v>0</v>
      </c>
      <c r="E7" s="35" t="str">
        <f t="shared" ref="E7:E13" si="0">IF(C7=0,"-",D7/C7)</f>
        <v>-</v>
      </c>
      <c r="F7" s="36" t="str">
        <f>IF(C7=0,"-",AVERAGEIF('Trade Log'!F:F,"BOX_REV",'Trade Log'!N:N))</f>
        <v>-</v>
      </c>
      <c r="G7" s="36" t="str">
        <f>IF(C7=0,"-",SUMIF('Trade Log'!F:F,"BOX_REV",'Trade Log'!N:N))</f>
        <v>-</v>
      </c>
      <c r="H7" s="37" t="str">
        <f>IF(C7=0,"-",AVERAGEIF('Trade Log'!F:F,"BOX_REV",'Trade Log'!P:R))</f>
        <v>-</v>
      </c>
      <c r="I7" s="38" t="str">
        <f t="shared" ref="I7:I13" si="1">IF(C7=0,"-",C7-D7)</f>
        <v>-</v>
      </c>
      <c r="J7" s="35">
        <f t="shared" ref="J7:J13" si="2">IF($B$3=0,"-",C7/$B$3)</f>
        <v>0</v>
      </c>
    </row>
    <row r="8" spans="1:11" ht="15" customHeight="1" x14ac:dyDescent="0.2">
      <c r="B8" s="39" t="s">
        <v>81</v>
      </c>
      <c r="C8" s="40">
        <f>COUNTIF('Trade Log'!F:F,"MANIP")</f>
        <v>0</v>
      </c>
      <c r="D8" s="40">
        <f>COUNTIFS('Trade Log'!F:F,"MANIP",'Trade Log'!Q:Q,"WIN")</f>
        <v>0</v>
      </c>
      <c r="E8" s="41" t="str">
        <f t="shared" si="0"/>
        <v>-</v>
      </c>
      <c r="F8" s="42" t="str">
        <f>IF(C8=0,"-",AVERAGEIF('Trade Log'!F:F,"MANIP",'Trade Log'!N:N))</f>
        <v>-</v>
      </c>
      <c r="G8" s="42" t="str">
        <f>IF(C8=0,"-",SUMIF('Trade Log'!F:F,"MANIP",'Trade Log'!N:N))</f>
        <v>-</v>
      </c>
      <c r="H8" s="43" t="str">
        <f>IF(C8=0,"-",AVERAGEIF('Trade Log'!F:F,"MANIP",'Trade Log'!P:R))</f>
        <v>-</v>
      </c>
      <c r="I8" s="44" t="str">
        <f t="shared" si="1"/>
        <v>-</v>
      </c>
      <c r="J8" s="41">
        <f t="shared" si="2"/>
        <v>0</v>
      </c>
    </row>
    <row r="9" spans="1:11" ht="15" customHeight="1" x14ac:dyDescent="0.2">
      <c r="B9" s="33" t="s">
        <v>82</v>
      </c>
      <c r="C9" s="34">
        <f>COUNTIF('Trade Log'!F:F,"VWAP_SEP")</f>
        <v>0</v>
      </c>
      <c r="D9" s="34">
        <f>COUNTIFS('Trade Log'!F:F,"VWAP_SEP",'Trade Log'!Q:Q,"WIN")</f>
        <v>0</v>
      </c>
      <c r="E9" s="35" t="str">
        <f t="shared" si="0"/>
        <v>-</v>
      </c>
      <c r="F9" s="36" t="str">
        <f>IF(C9=0,"-",AVERAGEIF('Trade Log'!F:F,"VWAP_SEP",'Trade Log'!N:N))</f>
        <v>-</v>
      </c>
      <c r="G9" s="36" t="str">
        <f>IF(C9=0,"-",SUMIF('Trade Log'!F:F,"VWAP_SEP",'Trade Log'!N:N))</f>
        <v>-</v>
      </c>
      <c r="H9" s="37" t="str">
        <f>IF(C9=0,"-",AVERAGEIF('Trade Log'!F:F,"VWAP_SEP",'Trade Log'!P:R))</f>
        <v>-</v>
      </c>
      <c r="I9" s="38" t="str">
        <f t="shared" si="1"/>
        <v>-</v>
      </c>
      <c r="J9" s="35">
        <f t="shared" si="2"/>
        <v>0</v>
      </c>
    </row>
    <row r="10" spans="1:11" ht="15" customHeight="1" x14ac:dyDescent="0.2">
      <c r="B10" s="39" t="s">
        <v>83</v>
      </c>
      <c r="C10" s="40">
        <f>COUNTIF('Trade Log'!F:F,"EMA9_SEP")</f>
        <v>0</v>
      </c>
      <c r="D10" s="40">
        <f>COUNTIFS('Trade Log'!F:F,"EMA9_SEP",'Trade Log'!Q:Q,"WIN")</f>
        <v>0</v>
      </c>
      <c r="E10" s="41" t="str">
        <f t="shared" si="0"/>
        <v>-</v>
      </c>
      <c r="F10" s="42" t="str">
        <f>IF(C10=0,"-",AVERAGEIF('Trade Log'!F:F,"EMA9_SEP",'Trade Log'!N:N))</f>
        <v>-</v>
      </c>
      <c r="G10" s="42" t="str">
        <f>IF(C10=0,"-",SUMIF('Trade Log'!F:F,"EMA9_SEP",'Trade Log'!N:N))</f>
        <v>-</v>
      </c>
      <c r="H10" s="43" t="str">
        <f>IF(C10=0,"-",AVERAGEIF('Trade Log'!F:F,"EMA9_SEP",'Trade Log'!P:R))</f>
        <v>-</v>
      </c>
      <c r="I10" s="44" t="str">
        <f t="shared" si="1"/>
        <v>-</v>
      </c>
      <c r="J10" s="41">
        <f t="shared" si="2"/>
        <v>0</v>
      </c>
    </row>
    <row r="11" spans="1:11" ht="15" customHeight="1" x14ac:dyDescent="0.2">
      <c r="B11" s="33" t="s">
        <v>84</v>
      </c>
      <c r="C11" s="34">
        <f>COUNTIF('Trade Log'!F:F,"VWAP_KISS")</f>
        <v>5</v>
      </c>
      <c r="D11" s="34">
        <f>COUNTIFS('Trade Log'!F:F,"VWAP_KISS",'Trade Log'!Q:Q,"WIN")</f>
        <v>4</v>
      </c>
      <c r="E11" s="35">
        <f t="shared" si="0"/>
        <v>0.8</v>
      </c>
      <c r="F11" s="36">
        <f>IF(C11=0,"-",AVERAGEIF('Trade Log'!F:F,"VWAP_KISS",'Trade Log'!N:N))</f>
        <v>18</v>
      </c>
      <c r="G11" s="36">
        <f>IF(C11=0,"-",SUMIF('Trade Log'!F:F,"VWAP_KISS",'Trade Log'!N:N))</f>
        <v>90</v>
      </c>
      <c r="H11" s="37" t="e">
        <f>IF(C11=0,"-",AVERAGEIF('Trade Log'!F:F,"VWAP_KISS",'Trade Log'!P:R))</f>
        <v>#DIV/0!</v>
      </c>
      <c r="I11" s="38">
        <f t="shared" si="1"/>
        <v>1</v>
      </c>
      <c r="J11" s="35">
        <f t="shared" si="2"/>
        <v>1</v>
      </c>
    </row>
    <row r="12" spans="1:11" ht="15" customHeight="1" x14ac:dyDescent="0.2">
      <c r="B12" s="39" t="s">
        <v>85</v>
      </c>
      <c r="C12" s="40">
        <f>COUNTIF('Trade Log'!F:F,"EMA_PULL")</f>
        <v>0</v>
      </c>
      <c r="D12" s="40">
        <f>COUNTIFS('Trade Log'!F:F,"EMA_PULL",'Trade Log'!Q:Q,"WIN")</f>
        <v>0</v>
      </c>
      <c r="E12" s="41" t="str">
        <f t="shared" si="0"/>
        <v>-</v>
      </c>
      <c r="F12" s="42" t="str">
        <f>IF(C12=0,"-",AVERAGEIF('Trade Log'!F:F,"EMA_PULL",'Trade Log'!N:N))</f>
        <v>-</v>
      </c>
      <c r="G12" s="42" t="str">
        <f>IF(C12=0,"-",SUMIF('Trade Log'!F:F,"EMA_PULL",'Trade Log'!N:N))</f>
        <v>-</v>
      </c>
      <c r="H12" s="43" t="str">
        <f>IF(C12=0,"-",AVERAGEIF('Trade Log'!F:F,"EMA_PULL",'Trade Log'!P:R))</f>
        <v>-</v>
      </c>
      <c r="I12" s="44" t="str">
        <f t="shared" si="1"/>
        <v>-</v>
      </c>
      <c r="J12" s="41">
        <f t="shared" si="2"/>
        <v>0</v>
      </c>
    </row>
    <row r="13" spans="1:11" ht="15" customHeight="1" x14ac:dyDescent="0.2">
      <c r="B13" s="33" t="s">
        <v>86</v>
      </c>
      <c r="C13" s="34">
        <f>COUNTIF('Trade Log'!F:F,"EMA_RETEST")</f>
        <v>0</v>
      </c>
      <c r="D13" s="34">
        <f>COUNTIFS('Trade Log'!F:F,"EMA_RETEST",'Trade Log'!Q:Q,"WIN")</f>
        <v>0</v>
      </c>
      <c r="E13" s="35" t="str">
        <f t="shared" si="0"/>
        <v>-</v>
      </c>
      <c r="F13" s="36" t="str">
        <f>IF(C13=0,"-",AVERAGEIF('Trade Log'!F:F,"EMA_RETEST",'Trade Log'!N:N))</f>
        <v>-</v>
      </c>
      <c r="G13" s="36" t="str">
        <f>IF(C13=0,"-",SUMIF('Trade Log'!F:F,"EMA_RETEST",'Trade Log'!N:N))</f>
        <v>-</v>
      </c>
      <c r="H13" s="37" t="str">
        <f>IF(C13=0,"-",AVERAGEIF('Trade Log'!F:F,"EMA_RETEST",'Trade Log'!P:R))</f>
        <v>-</v>
      </c>
      <c r="I13" s="38" t="str">
        <f t="shared" si="1"/>
        <v>-</v>
      </c>
      <c r="J13" s="35">
        <f t="shared" si="2"/>
        <v>0</v>
      </c>
    </row>
    <row r="16" spans="1:11" ht="15" customHeight="1" x14ac:dyDescent="0.2">
      <c r="B16" s="31" t="s">
        <v>87</v>
      </c>
    </row>
    <row r="17" spans="1:8" ht="15" customHeight="1" x14ac:dyDescent="0.2">
      <c r="A17" s="32"/>
      <c r="B17" s="4" t="s">
        <v>32</v>
      </c>
      <c r="C17" s="4" t="s">
        <v>74</v>
      </c>
      <c r="D17" s="4" t="s">
        <v>75</v>
      </c>
      <c r="E17" s="4" t="s">
        <v>65</v>
      </c>
      <c r="F17" s="4" t="s">
        <v>76</v>
      </c>
      <c r="G17" s="4" t="s">
        <v>66</v>
      </c>
      <c r="H17" s="4" t="s">
        <v>77</v>
      </c>
    </row>
    <row r="18" spans="1:8" ht="15" customHeight="1" x14ac:dyDescent="0.2">
      <c r="B18" s="39" t="s">
        <v>59</v>
      </c>
      <c r="C18" s="40">
        <f>COUNTIF('Trade Log'!E:E,"LONG")</f>
        <v>5</v>
      </c>
      <c r="D18" s="40">
        <f>COUNTIFS('Trade Log'!E:E,"LONG",'Trade Log'!Q:Q,"WIN")</f>
        <v>4</v>
      </c>
      <c r="E18" s="41">
        <f>IF(C18=0,"-",D18/C18)</f>
        <v>0.8</v>
      </c>
      <c r="F18" s="42">
        <f>IF(C18=0,"-",AVERAGEIF('Trade Log'!E:E,"LONG",'Trade Log'!N:N))</f>
        <v>18</v>
      </c>
      <c r="G18" s="42">
        <f>IF(C18=0,"-",SUMIF('Trade Log'!E:E,"LONG",'Trade Log'!N:N))</f>
        <v>90</v>
      </c>
      <c r="H18" s="43" t="str">
        <f>IFERROR(IF(C18=0,"-",AVERAGEIF('Trade Log'!E:E,"LONG",'Trade Log'!P:R)),"-")</f>
        <v>-</v>
      </c>
    </row>
    <row r="19" spans="1:8" ht="15" customHeight="1" x14ac:dyDescent="0.2">
      <c r="B19" s="39" t="s">
        <v>88</v>
      </c>
      <c r="C19" s="40">
        <f>COUNTIF('Trade Log'!E:E,"SHORT")</f>
        <v>0</v>
      </c>
      <c r="D19" s="40">
        <f>COUNTIFS('Trade Log'!E:E,"SHORT",'Trade Log'!Q:Q,"WIN")</f>
        <v>0</v>
      </c>
      <c r="E19" s="41" t="str">
        <f>IF(C19=0,"-",D19/C19)</f>
        <v>-</v>
      </c>
      <c r="F19" s="42" t="str">
        <f>IF(C19=0,"-",AVERAGEIF('Trade Log'!E:E,"SHORT",'Trade Log'!N:N))</f>
        <v>-</v>
      </c>
      <c r="G19" s="42" t="str">
        <f>IF(C19=0,"-",SUMIF('Trade Log'!E:E,"SHORT",'Trade Log'!N:N))</f>
        <v>-</v>
      </c>
      <c r="H19" s="43" t="str">
        <f>IFERROR(IF(C19=0,"-",AVERAGEIF('Trade Log'!E:E,"SHORT",'Trade Log'!P:R)),"-")</f>
        <v>-</v>
      </c>
    </row>
    <row r="22" spans="1:8" ht="15" customHeight="1" x14ac:dyDescent="0.2">
      <c r="B22" s="31" t="s">
        <v>89</v>
      </c>
    </row>
    <row r="23" spans="1:8" ht="15" customHeight="1" x14ac:dyDescent="0.2">
      <c r="A23" s="32"/>
      <c r="B23" s="4" t="s">
        <v>90</v>
      </c>
      <c r="C23" s="4" t="s">
        <v>74</v>
      </c>
      <c r="D23" s="4" t="s">
        <v>75</v>
      </c>
      <c r="E23" s="4" t="s">
        <v>65</v>
      </c>
      <c r="F23" s="4" t="s">
        <v>76</v>
      </c>
      <c r="G23" s="4" t="s">
        <v>66</v>
      </c>
    </row>
    <row r="24" spans="1:8" ht="15" customHeight="1" x14ac:dyDescent="0.2">
      <c r="B24" s="33" t="s">
        <v>91</v>
      </c>
      <c r="C24" s="34">
        <f>COUNTIFS('Trade Log'!C:C,"&gt;="&amp;TIME(9,30,0),'Trade Log'!C:C,"&lt;"&amp;TIME(10,0,0))</f>
        <v>0</v>
      </c>
      <c r="D24" s="34">
        <f>COUNTIFS('Trade Log'!C:C,"&gt;="&amp;TIME(9,30,0),'Trade Log'!C:C,"&lt;"&amp;TIME(10,0,0),'Trade Log'!Q:Q,"WIN")</f>
        <v>0</v>
      </c>
      <c r="E24" s="35" t="str">
        <f t="shared" ref="E24:E29" si="3">IF(C24=0,"-",D24/C24)</f>
        <v>-</v>
      </c>
      <c r="F24" s="36" t="str">
        <f>IF(C24=0,"-",AVERAGEIFS('Trade Log'!N:N,'Trade Log'!C:C,"&gt;="&amp;TIME(9,30,0),'Trade Log'!C:C,"&lt;"&amp;TIME(10,0,0)))</f>
        <v>-</v>
      </c>
      <c r="G24" s="36" t="str">
        <f>IF(C24=0,"-",SUMIFS('Trade Log'!N:N,'Trade Log'!C:C,"&gt;="&amp;TIME(9,30,0),'Trade Log'!C:C,"&lt;"&amp;TIME(10,0,0)))</f>
        <v>-</v>
      </c>
    </row>
    <row r="25" spans="1:8" ht="23.25" customHeight="1" x14ac:dyDescent="0.2">
      <c r="B25" s="39" t="s">
        <v>92</v>
      </c>
      <c r="C25" s="40">
        <f>COUNTIFS('Trade Log'!C:C,"&gt;="&amp;TIME(10,0,0),'Trade Log'!C:C,"&lt;"&amp;TIME(10,45,0))</f>
        <v>0</v>
      </c>
      <c r="D25" s="40">
        <f>COUNTIFS('Trade Log'!C:C,"&gt;="&amp;TIME(10,0,0),'Trade Log'!C:C,"&lt;"&amp;TIME(10,45,0),'Trade Log'!Q:Q,"WIN")</f>
        <v>0</v>
      </c>
      <c r="E25" s="41" t="str">
        <f t="shared" si="3"/>
        <v>-</v>
      </c>
      <c r="F25" s="42" t="str">
        <f>IF(C25=0,"-",AVERAGEIFS('Trade Log'!N:N,'Trade Log'!C:C,"&gt;="&amp;TIME(10,0,0),'Trade Log'!C:C,"&lt;"&amp;TIME(10,45,0)))</f>
        <v>-</v>
      </c>
      <c r="G25" s="42" t="str">
        <f>IF(C25=0,"-",SUMIFS('Trade Log'!N:N,'Trade Log'!C:C,"&gt;="&amp;TIME(10,0,0),'Trade Log'!C:C,"&lt;"&amp;TIME(10,45,0)))</f>
        <v>-</v>
      </c>
    </row>
    <row r="26" spans="1:8" ht="23.25" customHeight="1" x14ac:dyDescent="0.2">
      <c r="B26" s="33" t="s">
        <v>93</v>
      </c>
      <c r="C26" s="34">
        <f>COUNTIFS('Trade Log'!C:C,"&gt;="&amp;TIME(10,45,0),'Trade Log'!C:C,"&lt;"&amp;TIME(12,0,0))</f>
        <v>0</v>
      </c>
      <c r="D26" s="34">
        <f>COUNTIFS('Trade Log'!C:C,"&gt;="&amp;TIME(10,45,0),'Trade Log'!C:C,"&lt;"&amp;TIME(12,0,0),'Trade Log'!Q:Q,"WIN")</f>
        <v>0</v>
      </c>
      <c r="E26" s="35" t="str">
        <f t="shared" si="3"/>
        <v>-</v>
      </c>
      <c r="F26" s="36" t="str">
        <f>IF(C26=0,"-",AVERAGEIFS('Trade Log'!N:N,'Trade Log'!C:C,"&gt;="&amp;TIME(10,45,0),'Trade Log'!C:C,"&lt;"&amp;TIME(12,0,0)))</f>
        <v>-</v>
      </c>
      <c r="G26" s="36" t="str">
        <f>IF(C26=0,"-",SUMIFS('Trade Log'!N:N,'Trade Log'!C:C,"&gt;="&amp;TIME(10,45,0),'Trade Log'!C:C,"&lt;"&amp;TIME(12,0,0)))</f>
        <v>-</v>
      </c>
    </row>
    <row r="27" spans="1:8" ht="23.25" customHeight="1" x14ac:dyDescent="0.2">
      <c r="B27" s="39" t="s">
        <v>94</v>
      </c>
      <c r="C27" s="40">
        <f>COUNTIFS('Trade Log'!C:C,"&gt;="&amp;TIME(12,0,0),'Trade Log'!C:C,"&lt;"&amp;TIME(13,30,0))</f>
        <v>0</v>
      </c>
      <c r="D27" s="40">
        <f>COUNTIFS('Trade Log'!C:C,"&gt;="&amp;TIME(12,0,0),'Trade Log'!C:C,"&lt;"&amp;TIME(13,30,0),'Trade Log'!Q:Q,"WIN")</f>
        <v>0</v>
      </c>
      <c r="E27" s="41" t="str">
        <f t="shared" si="3"/>
        <v>-</v>
      </c>
      <c r="F27" s="42" t="str">
        <f>IF(C27=0,"-",AVERAGEIFS('Trade Log'!N:N,'Trade Log'!C:C,"&gt;="&amp;TIME(12,0,0),'Trade Log'!C:C,"&lt;"&amp;TIME(13,30,0)))</f>
        <v>-</v>
      </c>
      <c r="G27" s="42" t="str">
        <f>IF(C27=0,"-",SUMIFS('Trade Log'!N:N,'Trade Log'!C:C,"&gt;="&amp;TIME(12,0,0),'Trade Log'!C:C,"&lt;"&amp;TIME(13,30,0)))</f>
        <v>-</v>
      </c>
    </row>
    <row r="28" spans="1:8" ht="23.25" customHeight="1" x14ac:dyDescent="0.2">
      <c r="B28" s="33" t="s">
        <v>95</v>
      </c>
      <c r="C28" s="34">
        <f>COUNTIFS('Trade Log'!C:C,"&gt;="&amp;TIME(13,30,0),'Trade Log'!C:C,"&lt;"&amp;TIME(15,0,0))</f>
        <v>0</v>
      </c>
      <c r="D28" s="34">
        <f>COUNTIFS('Trade Log'!C:C,"&gt;="&amp;TIME(13,30,0),'Trade Log'!C:C,"&lt;"&amp;TIME(15,0,0),'Trade Log'!Q:Q,"WIN")</f>
        <v>0</v>
      </c>
      <c r="E28" s="35" t="str">
        <f t="shared" si="3"/>
        <v>-</v>
      </c>
      <c r="F28" s="36" t="str">
        <f>IF(C28=0,"-",AVERAGEIFS('Trade Log'!N:N,'Trade Log'!C:C,"&gt;="&amp;TIME(13,30,0),'Trade Log'!C:C,"&lt;"&amp;TIME(15,0,0)))</f>
        <v>-</v>
      </c>
      <c r="G28" s="36" t="str">
        <f>IF(C28=0,"-",SUMIFS('Trade Log'!N:N,'Trade Log'!C:C,"&gt;="&amp;TIME(13,30,0),'Trade Log'!C:C,"&lt;"&amp;TIME(15,0,0)))</f>
        <v>-</v>
      </c>
    </row>
    <row r="29" spans="1:8" ht="15" customHeight="1" x14ac:dyDescent="0.2">
      <c r="B29" s="39" t="s">
        <v>96</v>
      </c>
      <c r="C29" s="40">
        <f>COUNTIFS('Trade Log'!C:C,"&gt;="&amp;TIME(15,0,0),'Trade Log'!C:C,"&lt;"&amp;TIME(16,0,0))</f>
        <v>3</v>
      </c>
      <c r="D29" s="40">
        <f>COUNTIFS('Trade Log'!C:C,"&gt;="&amp;TIME(15,0,0),'Trade Log'!C:C,"&lt;"&amp;TIME(16,0,0),'Trade Log'!Q:Q,"WIN")</f>
        <v>3</v>
      </c>
      <c r="E29" s="41">
        <f t="shared" si="3"/>
        <v>1</v>
      </c>
      <c r="F29" s="42">
        <f>IF(C29=0,"-",AVERAGEIFS('Trade Log'!N:N,'Trade Log'!C:C,"&gt;="&amp;TIME(15,0,0),'Trade Log'!C:C,"&lt;"&amp;TIME(16,0,0)))</f>
        <v>19.666666666666668</v>
      </c>
      <c r="G29" s="42">
        <f>IF(C29=0,"-",SUMIFS('Trade Log'!N:N,'Trade Log'!C:C,"&gt;="&amp;TIME(15,0,0),'Trade Log'!C:C,"&lt;"&amp;TIME(16,0,0)))</f>
        <v>59</v>
      </c>
    </row>
    <row r="32" spans="1:8" ht="15.75" customHeight="1" x14ac:dyDescent="0.2">
      <c r="B32" s="31" t="s">
        <v>97</v>
      </c>
    </row>
    <row r="33" spans="2:9" ht="15" customHeight="1" x14ac:dyDescent="0.2">
      <c r="B33" s="4" t="s">
        <v>48</v>
      </c>
      <c r="C33" s="4" t="s">
        <v>74</v>
      </c>
      <c r="D33" s="4" t="s">
        <v>75</v>
      </c>
      <c r="E33" s="4" t="s">
        <v>65</v>
      </c>
      <c r="F33" s="4" t="s">
        <v>76</v>
      </c>
      <c r="G33" s="4" t="s">
        <v>66</v>
      </c>
      <c r="H33" s="4" t="s">
        <v>77</v>
      </c>
      <c r="I33" s="4" t="s">
        <v>79</v>
      </c>
    </row>
    <row r="34" spans="2:9" ht="15" customHeight="1" x14ac:dyDescent="0.2">
      <c r="B34" s="45" t="s">
        <v>98</v>
      </c>
      <c r="C34" s="46">
        <f>COUNTIF('Trade Log'!U:U,"A")</f>
        <v>0</v>
      </c>
      <c r="D34" s="46">
        <f>COUNTIFS('Trade Log'!U:U,"A",'Trade Log'!Q:Q,"WIN")</f>
        <v>0</v>
      </c>
      <c r="E34" s="47" t="str">
        <f>IF(C34=0,"-",D34/C34)</f>
        <v>-</v>
      </c>
      <c r="F34" s="48" t="str">
        <f>IF(C34=0,"-",AVERAGEIF('Trade Log'!U:U,"A",'Trade Log'!N:N))</f>
        <v>-</v>
      </c>
      <c r="G34" s="48" t="str">
        <f>IF(C34=0,"-",SUMIF('Trade Log'!U:U,"A",'Trade Log'!N:N))</f>
        <v>-</v>
      </c>
      <c r="H34" s="49" t="str">
        <f>IF(C34=0,"-",AVERAGEIF('Trade Log'!U:U,"A",'Trade Log'!P:R))</f>
        <v>-</v>
      </c>
      <c r="I34" s="47">
        <f>IF($B$3=0,"-",C34/$B$3)</f>
        <v>0</v>
      </c>
    </row>
    <row r="35" spans="2:9" ht="15" customHeight="1" x14ac:dyDescent="0.2">
      <c r="B35" s="50" t="s">
        <v>99</v>
      </c>
      <c r="C35" s="51">
        <f>COUNTIF('Trade Log'!U:U,"B")</f>
        <v>0</v>
      </c>
      <c r="D35" s="51">
        <f>COUNTIFS('Trade Log'!U:U,"B",'Trade Log'!Q:Q,"WIN")</f>
        <v>0</v>
      </c>
      <c r="E35" s="52" t="str">
        <f>IF(C35=0,"-",D35/C35)</f>
        <v>-</v>
      </c>
      <c r="F35" s="53" t="str">
        <f>IF(C35=0,"-",AVERAGEIF('Trade Log'!U:U,"B",'Trade Log'!N:N))</f>
        <v>-</v>
      </c>
      <c r="G35" s="53" t="str">
        <f>IF(C35=0,"-",SUMIF('Trade Log'!U:U,"B",'Trade Log'!N:N))</f>
        <v>-</v>
      </c>
      <c r="H35" s="54" t="str">
        <f>IF(C35=0,"-",AVERAGEIF('Trade Log'!U:U,"B",'Trade Log'!P:R))</f>
        <v>-</v>
      </c>
      <c r="I35" s="52">
        <f>IF($B$3=0,"-",C35/$B$3)</f>
        <v>0</v>
      </c>
    </row>
    <row r="36" spans="2:9" ht="15" customHeight="1" x14ac:dyDescent="0.2">
      <c r="B36" s="55" t="s">
        <v>100</v>
      </c>
      <c r="C36" s="56">
        <f>COUNTIF('Trade Log'!U:U,"C")</f>
        <v>0</v>
      </c>
      <c r="D36" s="56">
        <f>COUNTIFS('Trade Log'!U:U,"C",'Trade Log'!Q:Q,"WIN")</f>
        <v>0</v>
      </c>
      <c r="E36" s="57" t="str">
        <f>IF(C36=0,"-",D36/C36)</f>
        <v>-</v>
      </c>
      <c r="F36" s="58" t="str">
        <f>IF(C36=0,"-",AVERAGEIF('Trade Log'!U:U,"C",'Trade Log'!N:N))</f>
        <v>-</v>
      </c>
      <c r="G36" s="58" t="str">
        <f>IF(C36=0,"-",SUMIF('Trade Log'!U:U,"C",'Trade Log'!N:N))</f>
        <v>-</v>
      </c>
      <c r="H36" s="59" t="str">
        <f>IF(C36=0,"-",AVERAGEIF('Trade Log'!U:U,"C",'Trade Log'!P:R))</f>
        <v>-</v>
      </c>
      <c r="I36" s="57">
        <f>IF($B$3=0,"-",C36/$B$3)</f>
        <v>0</v>
      </c>
    </row>
    <row r="38" spans="2:9" ht="15.75" customHeight="1" x14ac:dyDescent="0.2">
      <c r="B38" s="31" t="s">
        <v>101</v>
      </c>
    </row>
    <row r="39" spans="2:9" ht="26.25" customHeight="1" x14ac:dyDescent="0.2">
      <c r="B39" s="4" t="s">
        <v>102</v>
      </c>
      <c r="C39" s="4" t="s">
        <v>74</v>
      </c>
      <c r="D39" s="4" t="s">
        <v>75</v>
      </c>
      <c r="E39" s="4" t="s">
        <v>65</v>
      </c>
      <c r="F39" s="4" t="s">
        <v>76</v>
      </c>
      <c r="G39" s="4" t="s">
        <v>66</v>
      </c>
      <c r="H39" s="4" t="s">
        <v>77</v>
      </c>
    </row>
    <row r="40" spans="2:9" ht="27.75" customHeight="1" x14ac:dyDescent="0.2">
      <c r="B40" s="45" t="s">
        <v>103</v>
      </c>
      <c r="C40" s="46">
        <f>COUNTIF('Trade Log'!V:V,"Y")</f>
        <v>0</v>
      </c>
      <c r="D40" s="46">
        <f>COUNTIFS('Trade Log'!V:V,"Y",'Trade Log'!Q:Q,"WIN")</f>
        <v>0</v>
      </c>
      <c r="E40" s="47" t="str">
        <f>IF(C40=0,"-",D40/C40)</f>
        <v>-</v>
      </c>
      <c r="F40" s="48" t="str">
        <f>IF(C40=0,"-",AVERAGEIF('Trade Log'!V:V,"Y",'Trade Log'!N:N))</f>
        <v>-</v>
      </c>
      <c r="G40" s="48" t="str">
        <f>IF(C40=0,"-",SUMIF('Trade Log'!V:V,"Y",'Trade Log'!N:N))</f>
        <v>-</v>
      </c>
      <c r="H40" s="49" t="str">
        <f>IF(C40=0,"-",AVERAGEIF('Trade Log'!V:V,"Y",'Trade Log'!P:R))</f>
        <v>-</v>
      </c>
    </row>
    <row r="41" spans="2:9" ht="15" customHeight="1" x14ac:dyDescent="0.2">
      <c r="B41" s="55" t="s">
        <v>104</v>
      </c>
      <c r="C41" s="56">
        <f>COUNTIF('Trade Log'!V:V,"N")</f>
        <v>0</v>
      </c>
      <c r="D41" s="56">
        <f>COUNTIFS('Trade Log'!V:V,"N",'Trade Log'!Q:Q,"WIN")</f>
        <v>0</v>
      </c>
      <c r="E41" s="57" t="str">
        <f>IF(C41=0,"-",D41/C41)</f>
        <v>-</v>
      </c>
      <c r="F41" s="58" t="str">
        <f>IF(C41=0,"-",AVERAGEIF('Trade Log'!V:V,"N",'Trade Log'!N:N))</f>
        <v>-</v>
      </c>
      <c r="G41" s="58" t="str">
        <f>IF(C41=0,"-",SUMIF('Trade Log'!V:V,"N",'Trade Log'!N:N))</f>
        <v>-</v>
      </c>
      <c r="H41" s="59" t="str">
        <f>IF(C41=0,"-",AVERAGEIF('Trade Log'!V:V,"N",'Trade Log'!P:R))</f>
        <v>-</v>
      </c>
    </row>
    <row r="42" spans="2:9" ht="18" customHeight="1" x14ac:dyDescent="0.2">
      <c r="B42" s="60" t="s">
        <v>105</v>
      </c>
      <c r="F42" s="61" t="str">
        <f>IF(COUNTIF('Trade Log'!V:V,"N")=0,"-",SUMIF('Trade Log'!V:V,"N",'Trade Log'!N:N))</f>
        <v>-</v>
      </c>
    </row>
    <row r="45" spans="2:9" ht="15.75" customHeight="1" x14ac:dyDescent="0.2">
      <c r="B45" s="31" t="s">
        <v>106</v>
      </c>
    </row>
    <row r="46" spans="2:9" ht="15" customHeight="1" x14ac:dyDescent="0.2">
      <c r="B46" s="4" t="s">
        <v>107</v>
      </c>
      <c r="C46" s="4" t="s">
        <v>74</v>
      </c>
      <c r="D46" s="4" t="s">
        <v>75</v>
      </c>
      <c r="E46" s="4" t="s">
        <v>65</v>
      </c>
      <c r="F46" s="4" t="s">
        <v>76</v>
      </c>
      <c r="G46" s="4" t="s">
        <v>66</v>
      </c>
    </row>
    <row r="47" spans="2:9" ht="15" customHeight="1" x14ac:dyDescent="0.2">
      <c r="B47" s="33" t="s">
        <v>108</v>
      </c>
      <c r="C47" s="34">
        <f>COUNTIF('Trade Log'!W:W,"Calm")</f>
        <v>0</v>
      </c>
      <c r="D47" s="34">
        <f>COUNTIFS('Trade Log'!W:W,"Calm",'Trade Log'!Q:Q,"WIN")</f>
        <v>0</v>
      </c>
      <c r="E47" s="35" t="str">
        <f t="shared" ref="E47:E54" si="4">IF(C47=0,"-",D47/C47)</f>
        <v>-</v>
      </c>
      <c r="F47" s="36" t="str">
        <f>IF(C47=0,"-",AVERAGEIF('Trade Log'!W:W,"Calm",'Trade Log'!N:N))</f>
        <v>-</v>
      </c>
      <c r="G47" s="36" t="str">
        <f>IF(C47=0,"-",SUMIF('Trade Log'!W:W,"Calm",'Trade Log'!N:N))</f>
        <v>-</v>
      </c>
    </row>
    <row r="48" spans="2:9" ht="15" customHeight="1" x14ac:dyDescent="0.2">
      <c r="B48" s="39" t="s">
        <v>109</v>
      </c>
      <c r="C48" s="40">
        <f>COUNTIF('Trade Log'!W:W,"Focused")</f>
        <v>0</v>
      </c>
      <c r="D48" s="40">
        <f>COUNTIFS('Trade Log'!W:W,"Focused",'Trade Log'!Q:Q,"WIN")</f>
        <v>0</v>
      </c>
      <c r="E48" s="41" t="str">
        <f t="shared" si="4"/>
        <v>-</v>
      </c>
      <c r="F48" s="42" t="str">
        <f>IF(C48=0,"-",AVERAGEIF('Trade Log'!W:W,"Focused",'Trade Log'!N:N))</f>
        <v>-</v>
      </c>
      <c r="G48" s="42" t="str">
        <f>IF(C48=0,"-",SUMIF('Trade Log'!W:W,"Focused",'Trade Log'!N:N))</f>
        <v>-</v>
      </c>
    </row>
    <row r="49" spans="2:8" ht="15" customHeight="1" x14ac:dyDescent="0.2">
      <c r="B49" s="33" t="s">
        <v>110</v>
      </c>
      <c r="C49" s="34">
        <f>COUNTIF('Trade Log'!W:W,"Hesitant")</f>
        <v>0</v>
      </c>
      <c r="D49" s="34">
        <f>COUNTIFS('Trade Log'!W:W,"Hesitant",'Trade Log'!Q:Q,"WIN")</f>
        <v>0</v>
      </c>
      <c r="E49" s="35" t="str">
        <f t="shared" si="4"/>
        <v>-</v>
      </c>
      <c r="F49" s="36" t="str">
        <f>IF(C49=0,"-",AVERAGEIF('Trade Log'!W:W,"Hesitant",'Trade Log'!N:N))</f>
        <v>-</v>
      </c>
      <c r="G49" s="36" t="str">
        <f>IF(C49=0,"-",SUMIF('Trade Log'!W:W,"Hesitant",'Trade Log'!N:N))</f>
        <v>-</v>
      </c>
    </row>
    <row r="50" spans="2:8" ht="15" customHeight="1" x14ac:dyDescent="0.2">
      <c r="B50" s="39" t="s">
        <v>111</v>
      </c>
      <c r="C50" s="40">
        <f>COUNTIF('Trade Log'!W:W,"Frustrated")</f>
        <v>0</v>
      </c>
      <c r="D50" s="40">
        <f>COUNTIFS('Trade Log'!W:W,"Frustrated",'Trade Log'!Q:Q,"WIN")</f>
        <v>0</v>
      </c>
      <c r="E50" s="41" t="str">
        <f t="shared" si="4"/>
        <v>-</v>
      </c>
      <c r="F50" s="42" t="str">
        <f>IF(C50=0,"-",AVERAGEIF('Trade Log'!W:W,"Frustrated",'Trade Log'!N:N))</f>
        <v>-</v>
      </c>
      <c r="G50" s="42" t="str">
        <f>IF(C50=0,"-",SUMIF('Trade Log'!W:W,"Frustrated",'Trade Log'!N:N))</f>
        <v>-</v>
      </c>
    </row>
    <row r="51" spans="2:8" ht="15" customHeight="1" x14ac:dyDescent="0.2">
      <c r="B51" s="33" t="s">
        <v>112</v>
      </c>
      <c r="C51" s="34">
        <f>COUNTIF('Trade Log'!W:W,"FOMO")</f>
        <v>0</v>
      </c>
      <c r="D51" s="34">
        <f>COUNTIFS('Trade Log'!W:W,"FOMO",'Trade Log'!Q:Q,"WIN")</f>
        <v>0</v>
      </c>
      <c r="E51" s="35" t="str">
        <f t="shared" si="4"/>
        <v>-</v>
      </c>
      <c r="F51" s="36" t="str">
        <f>IF(C51=0,"-",AVERAGEIF('Trade Log'!W:W,"FOMO",'Trade Log'!N:N))</f>
        <v>-</v>
      </c>
      <c r="G51" s="36" t="str">
        <f>IF(C51=0,"-",SUMIF('Trade Log'!W:W,"FOMO",'Trade Log'!N:N))</f>
        <v>-</v>
      </c>
    </row>
    <row r="52" spans="2:8" ht="15.75" customHeight="1" x14ac:dyDescent="0.2">
      <c r="B52" s="39" t="s">
        <v>113</v>
      </c>
      <c r="C52" s="40">
        <f>COUNTIF('Trade Log'!W:W,"Revenge")</f>
        <v>0</v>
      </c>
      <c r="D52" s="40">
        <f>COUNTIFS('Trade Log'!W:W,"Revenge",'Trade Log'!Q:Q,"WIN")</f>
        <v>0</v>
      </c>
      <c r="E52" s="41" t="str">
        <f t="shared" si="4"/>
        <v>-</v>
      </c>
      <c r="F52" s="42" t="str">
        <f>IF(C52=0,"-",AVERAGEIF('Trade Log'!W:W,"Revenge",'Trade Log'!N:N))</f>
        <v>-</v>
      </c>
      <c r="G52" s="42" t="str">
        <f>IF(C52=0,"-",SUMIF('Trade Log'!W:W,"Revenge",'Trade Log'!N:N))</f>
        <v>-</v>
      </c>
    </row>
    <row r="53" spans="2:8" ht="15.75" customHeight="1" x14ac:dyDescent="0.2">
      <c r="B53" s="33" t="s">
        <v>114</v>
      </c>
      <c r="C53" s="34">
        <f>COUNTIF('Trade Log'!W:W,"Tired")</f>
        <v>0</v>
      </c>
      <c r="D53" s="34">
        <f>COUNTIFS('Trade Log'!W:W,"Tired",'Trade Log'!Q:Q,"WIN")</f>
        <v>0</v>
      </c>
      <c r="E53" s="35" t="str">
        <f t="shared" si="4"/>
        <v>-</v>
      </c>
      <c r="F53" s="36" t="str">
        <f>IF(C53=0,"-",AVERAGEIF('Trade Log'!W:W,"Tired",'Trade Log'!N:N))</f>
        <v>-</v>
      </c>
      <c r="G53" s="36" t="str">
        <f>IF(C53=0,"-",SUMIF('Trade Log'!W:W,"Tired",'Trade Log'!N:N))</f>
        <v>-</v>
      </c>
    </row>
    <row r="54" spans="2:8" ht="15.75" customHeight="1" x14ac:dyDescent="0.2">
      <c r="B54" s="39" t="s">
        <v>115</v>
      </c>
      <c r="C54" s="40">
        <f>COUNTIF('Trade Log'!W:W,"Distracted")</f>
        <v>0</v>
      </c>
      <c r="D54" s="40">
        <f>COUNTIFS('Trade Log'!W:W,"Distracted",'Trade Log'!Q:Q,"WIN")</f>
        <v>0</v>
      </c>
      <c r="E54" s="41" t="str">
        <f t="shared" si="4"/>
        <v>-</v>
      </c>
      <c r="F54" s="42" t="str">
        <f>IF(C54=0,"-",AVERAGEIF('Trade Log'!W:W,"Distracted",'Trade Log'!N:N))</f>
        <v>-</v>
      </c>
      <c r="G54" s="42" t="str">
        <f>IF(C54=0,"-",SUMIF('Trade Log'!W:W,"Distracted",'Trade Log'!N:N))</f>
        <v>-</v>
      </c>
    </row>
    <row r="56" spans="2:8" ht="15.75" customHeight="1" x14ac:dyDescent="0.2">
      <c r="B56" s="31" t="s">
        <v>116</v>
      </c>
    </row>
    <row r="57" spans="2:8" ht="15" customHeight="1" x14ac:dyDescent="0.2">
      <c r="B57" s="4" t="s">
        <v>52</v>
      </c>
      <c r="C57" s="4" t="s">
        <v>74</v>
      </c>
      <c r="D57" s="4" t="s">
        <v>75</v>
      </c>
      <c r="E57" s="4" t="s">
        <v>65</v>
      </c>
      <c r="F57" s="4" t="s">
        <v>76</v>
      </c>
      <c r="G57" s="4" t="s">
        <v>66</v>
      </c>
      <c r="H57" s="4" t="s">
        <v>77</v>
      </c>
    </row>
    <row r="58" spans="2:8" ht="15" customHeight="1" x14ac:dyDescent="0.2">
      <c r="B58" s="33" t="s">
        <v>117</v>
      </c>
      <c r="C58" s="34">
        <f>COUNTIF('Trade Log'!Y:Y,"Trend")</f>
        <v>0</v>
      </c>
      <c r="D58" s="34">
        <f>COUNTIFS('Trade Log'!Y:Y,"Trend",'Trade Log'!Q:Q,"WIN")</f>
        <v>0</v>
      </c>
      <c r="E58" s="35" t="str">
        <f>IF(C58=0,"-",D58/C58)</f>
        <v>-</v>
      </c>
      <c r="F58" s="36" t="str">
        <f>IF(C58=0,"-",AVERAGEIF('Trade Log'!Y:Y,"Trend",'Trade Log'!N:N))</f>
        <v>-</v>
      </c>
      <c r="G58" s="36" t="str">
        <f>IF(C58=0,"-",SUMIF('Trade Log'!Y:Y,"Trend",'Trade Log'!N:N))</f>
        <v>-</v>
      </c>
      <c r="H58" s="37" t="str">
        <f>IF(C58=0,"-",AVERAGEIF('Trade Log'!Y:Y,"Trend",'Trade Log'!P:R))</f>
        <v>-</v>
      </c>
    </row>
    <row r="59" spans="2:8" ht="15" customHeight="1" x14ac:dyDescent="0.2">
      <c r="B59" s="39" t="s">
        <v>118</v>
      </c>
      <c r="C59" s="40">
        <f>COUNTIF('Trade Log'!Y:Y,"Rotation")</f>
        <v>0</v>
      </c>
      <c r="D59" s="40">
        <f>COUNTIFS('Trade Log'!Y:Y,"Rotation",'Trade Log'!Q:Q,"WIN")</f>
        <v>0</v>
      </c>
      <c r="E59" s="41" t="str">
        <f>IF(C59=0,"-",D59/C59)</f>
        <v>-</v>
      </c>
      <c r="F59" s="42" t="str">
        <f>IF(C59=0,"-",AVERAGEIF('Trade Log'!Y:Y,"Rotation",'Trade Log'!N:N))</f>
        <v>-</v>
      </c>
      <c r="G59" s="42" t="str">
        <f>IF(C59=0,"-",SUMIF('Trade Log'!Y:Y,"Rotation",'Trade Log'!N:N))</f>
        <v>-</v>
      </c>
      <c r="H59" s="43" t="str">
        <f>IF(C59=0,"-",AVERAGEIF('Trade Log'!Y:Y,"Rotation",'Trade Log'!P:R))</f>
        <v>-</v>
      </c>
    </row>
    <row r="60" spans="2:8" ht="15" customHeight="1" x14ac:dyDescent="0.2">
      <c r="B60" s="33" t="s">
        <v>119</v>
      </c>
      <c r="C60" s="34">
        <f>COUNTIF('Trade Log'!Y:Y,"Choppy")</f>
        <v>0</v>
      </c>
      <c r="D60" s="34">
        <f>COUNTIFS('Trade Log'!Y:Y,"Choppy",'Trade Log'!Q:Q,"WIN")</f>
        <v>0</v>
      </c>
      <c r="E60" s="35" t="str">
        <f>IF(C60=0,"-",D60/C60)</f>
        <v>-</v>
      </c>
      <c r="F60" s="36" t="str">
        <f>IF(C60=0,"-",AVERAGEIF('Trade Log'!Y:Y,"Choppy",'Trade Log'!N:N))</f>
        <v>-</v>
      </c>
      <c r="G60" s="36" t="str">
        <f>IF(C60=0,"-",SUMIF('Trade Log'!Y:Y,"Choppy",'Trade Log'!N:N))</f>
        <v>-</v>
      </c>
      <c r="H60" s="37" t="str">
        <f>IF(C60=0,"-",AVERAGEIF('Trade Log'!Y:Y,"Choppy",'Trade Log'!P:R))</f>
        <v>-</v>
      </c>
    </row>
    <row r="61" spans="2:8" ht="15.75" customHeight="1" x14ac:dyDescent="0.2">
      <c r="B61" s="39" t="s">
        <v>120</v>
      </c>
      <c r="C61" s="40">
        <f>COUNTIF('Trade Log'!Y:Y,"High Vol")</f>
        <v>0</v>
      </c>
      <c r="D61" s="40">
        <f>COUNTIFS('Trade Log'!Y:Y,"High Vol",'Trade Log'!Q:Q,"WIN")</f>
        <v>0</v>
      </c>
      <c r="E61" s="41" t="str">
        <f>IF(C61=0,"-",D61/C61)</f>
        <v>-</v>
      </c>
      <c r="F61" s="42" t="str">
        <f>IF(C61=0,"-",AVERAGEIF('Trade Log'!Y:Y,"High Vol",'Trade Log'!N:N))</f>
        <v>-</v>
      </c>
      <c r="G61" s="42" t="str">
        <f>IF(C61=0,"-",SUMIF('Trade Log'!Y:Y,"High Vol",'Trade Log'!N:N))</f>
        <v>-</v>
      </c>
      <c r="H61" s="43" t="str">
        <f>IF(C61=0,"-",AVERAGEIF('Trade Log'!Y:Y,"High Vol",'Trade Log'!P:R))</f>
        <v>-</v>
      </c>
    </row>
    <row r="62" spans="2:8" ht="15.75" customHeight="1" x14ac:dyDescent="0.2">
      <c r="B62" s="33" t="s">
        <v>121</v>
      </c>
      <c r="C62" s="34">
        <f>COUNTIF('Trade Log'!Y:Y,"Low Vol")</f>
        <v>0</v>
      </c>
      <c r="D62" s="34">
        <f>COUNTIFS('Trade Log'!Y:Y,"Low Vol",'Trade Log'!Q:Q,"WIN")</f>
        <v>0</v>
      </c>
      <c r="E62" s="35" t="str">
        <f>IF(C62=0,"-",D62/C62)</f>
        <v>-</v>
      </c>
      <c r="F62" s="36" t="str">
        <f>IF(C62=0,"-",AVERAGEIF('Trade Log'!Y:Y,"Low Vol",'Trade Log'!N:N))</f>
        <v>-</v>
      </c>
      <c r="G62" s="36" t="str">
        <f>IF(C62=0,"-",SUMIF('Trade Log'!Y:Y,"Low Vol",'Trade Log'!N:N))</f>
        <v>-</v>
      </c>
      <c r="H62" s="37" t="str">
        <f>IF(C62=0,"-",AVERAGEIF('Trade Log'!Y:Y,"Low Vol",'Trade Log'!P:R))</f>
        <v>-</v>
      </c>
    </row>
    <row r="64" spans="2:8" ht="15.75" customHeight="1" x14ac:dyDescent="0.2">
      <c r="B64" s="31" t="s">
        <v>122</v>
      </c>
    </row>
    <row r="65" spans="2:7" ht="15" customHeight="1" x14ac:dyDescent="0.2">
      <c r="B65" s="4" t="s">
        <v>51</v>
      </c>
      <c r="C65" s="4" t="s">
        <v>123</v>
      </c>
      <c r="D65" s="4" t="s">
        <v>65</v>
      </c>
      <c r="E65" s="4" t="s">
        <v>66</v>
      </c>
      <c r="F65" s="4" t="s">
        <v>76</v>
      </c>
      <c r="G65" s="4" t="s">
        <v>124</v>
      </c>
    </row>
    <row r="66" spans="2:7" ht="15" customHeight="1" x14ac:dyDescent="0.2">
      <c r="B66" s="39" t="s">
        <v>125</v>
      </c>
      <c r="C66" s="40">
        <f>COUNTIF('Trade Log'!X:X,"None")</f>
        <v>0</v>
      </c>
      <c r="D66" s="41" t="str">
        <f>IF(C66=0,"-",COUNTIFS('Trade Log'!X:X,"None",'Trade Log'!Q:Q,"WIN")/C66)</f>
        <v>-</v>
      </c>
      <c r="E66" s="42" t="str">
        <f>IF(C66=0,"-",SUMIF('Trade Log'!X:X,"None",'Trade Log'!N:N))</f>
        <v>-</v>
      </c>
      <c r="F66" s="42" t="str">
        <f>IF(C66=0,"-",AVERAGEIF('Trade Log'!X:X,"None",'Trade Log'!N:N))</f>
        <v>-</v>
      </c>
      <c r="G66" s="41" t="str">
        <f>IF(OR(C66=0,SUMIF('Trade Log'!N:N,"&lt;0")=0),"-",SUMIF('Trade Log'!X:X,"None",'Trade Log'!N:N)/SUMIF('Trade Log'!N:N,"&lt;0"))</f>
        <v>-</v>
      </c>
    </row>
    <row r="67" spans="2:7" ht="15" customHeight="1" x14ac:dyDescent="0.2">
      <c r="B67" s="39" t="s">
        <v>126</v>
      </c>
      <c r="C67" s="40">
        <f>COUNTIF('Trade Log'!X:X,"Chased Entry")</f>
        <v>0</v>
      </c>
      <c r="D67" s="41" t="str">
        <f>IF(C67=0,"-",COUNTIFS('Trade Log'!X:X,"Chased Entry",'Trade Log'!Q:Q,"WIN")/C67)</f>
        <v>-</v>
      </c>
      <c r="E67" s="62" t="str">
        <f>IF(C67=0,"-",SUMIF('Trade Log'!X:X,"Chased Entry",'Trade Log'!N:N))</f>
        <v>-</v>
      </c>
      <c r="F67" s="42" t="str">
        <f>IF(C67=0,"-",AVERAGEIF('Trade Log'!X:X,"Chased Entry",'Trade Log'!N:N))</f>
        <v>-</v>
      </c>
      <c r="G67" s="41" t="str">
        <f>IF(OR(C67=0,SUMIF('Trade Log'!N:N,"&lt;0")=0),"-",SUMIF('Trade Log'!X:X,"Chased Entry",'Trade Log'!N:N)/SUMIF('Trade Log'!N:N,"&lt;0"))</f>
        <v>-</v>
      </c>
    </row>
    <row r="68" spans="2:7" ht="15.75" customHeight="1" x14ac:dyDescent="0.2">
      <c r="B68" s="39" t="s">
        <v>127</v>
      </c>
      <c r="C68" s="40">
        <f>COUNTIF('Trade Log'!X:X,"Early Exit")</f>
        <v>0</v>
      </c>
      <c r="D68" s="41" t="str">
        <f>IF(C68=0,"-",COUNTIFS('Trade Log'!X:X,"Early Exit",'Trade Log'!Q:Q,"WIN")/C68)</f>
        <v>-</v>
      </c>
      <c r="E68" s="62" t="str">
        <f>IF(C68=0,"-",SUMIF('Trade Log'!X:X,"Early Exit",'Trade Log'!N:N))</f>
        <v>-</v>
      </c>
      <c r="F68" s="42" t="str">
        <f>IF(C68=0,"-",AVERAGEIF('Trade Log'!X:X,"Early Exit",'Trade Log'!N:N))</f>
        <v>-</v>
      </c>
      <c r="G68" s="41" t="str">
        <f>IF(OR(C68=0,SUMIF('Trade Log'!N:N,"&lt;0")=0),"-",SUMIF('Trade Log'!X:X,"Early Exit",'Trade Log'!N:N)/SUMIF('Trade Log'!N:N,"&lt;0"))</f>
        <v>-</v>
      </c>
    </row>
    <row r="69" spans="2:7" ht="15" customHeight="1" x14ac:dyDescent="0.2">
      <c r="B69" s="39" t="s">
        <v>128</v>
      </c>
      <c r="C69" s="40">
        <f>COUNTIF('Trade Log'!X:X,"Late Exit")</f>
        <v>0</v>
      </c>
      <c r="D69" s="41" t="str">
        <f>IF(C69=0,"-",COUNTIFS('Trade Log'!X:X,"Late Exit",'Trade Log'!Q:Q,"WIN")/C69)</f>
        <v>-</v>
      </c>
      <c r="E69" s="62" t="str">
        <f>IF(C69=0,"-",SUMIF('Trade Log'!X:X,"Late Exit",'Trade Log'!N:N))</f>
        <v>-</v>
      </c>
      <c r="F69" s="42" t="str">
        <f>IF(C69=0,"-",AVERAGEIF('Trade Log'!X:X,"Late Exit",'Trade Log'!N:N))</f>
        <v>-</v>
      </c>
      <c r="G69" s="41" t="str">
        <f>IF(OR(C69=0,SUMIF('Trade Log'!N:N,"&lt;0")=0),"-",SUMIF('Trade Log'!X:X,"Late Exit",'Trade Log'!N:N)/SUMIF('Trade Log'!N:N,"&lt;0"))</f>
        <v>-</v>
      </c>
    </row>
    <row r="70" spans="2:7" ht="15.75" customHeight="1" x14ac:dyDescent="0.2">
      <c r="B70" s="39" t="s">
        <v>129</v>
      </c>
      <c r="C70" s="40">
        <f>COUNTIF('Trade Log'!X:X,"No Stop")</f>
        <v>0</v>
      </c>
      <c r="D70" s="41" t="str">
        <f>IF(C70=0,"-",COUNTIFS('Trade Log'!X:X,"No Stop",'Trade Log'!Q:Q,"WIN")/C70)</f>
        <v>-</v>
      </c>
      <c r="E70" s="62" t="str">
        <f>IF(C70=0,"-",SUMIF('Trade Log'!X:X,"No Stop",'Trade Log'!N:N))</f>
        <v>-</v>
      </c>
      <c r="F70" s="42" t="str">
        <f>IF(C70=0,"-",AVERAGEIF('Trade Log'!X:X,"No Stop",'Trade Log'!N:N))</f>
        <v>-</v>
      </c>
      <c r="G70" s="41" t="str">
        <f>IF(OR(C70=0,SUMIF('Trade Log'!N:N,"&lt;0")=0),"-",SUMIF('Trade Log'!X:X,"No Stop",'Trade Log'!N:N)/SUMIF('Trade Log'!N:N,"&lt;0"))</f>
        <v>-</v>
      </c>
    </row>
    <row r="71" spans="2:7" ht="15.75" customHeight="1" x14ac:dyDescent="0.2">
      <c r="B71" s="39" t="s">
        <v>130</v>
      </c>
      <c r="C71" s="40">
        <f>COUNTIF('Trade Log'!X:X,"Moved Stop")</f>
        <v>0</v>
      </c>
      <c r="D71" s="41" t="str">
        <f>IF(C71=0,"-",COUNTIFS('Trade Log'!X:X,"Moved Stop",'Trade Log'!Q:Q,"WIN")/C71)</f>
        <v>-</v>
      </c>
      <c r="E71" s="62" t="str">
        <f>IF(C71=0,"-",SUMIF('Trade Log'!X:X,"Moved Stop",'Trade Log'!N:N))</f>
        <v>-</v>
      </c>
      <c r="F71" s="42" t="str">
        <f>IF(C71=0,"-",AVERAGEIF('Trade Log'!X:X,"Moved Stop",'Trade Log'!N:N))</f>
        <v>-</v>
      </c>
      <c r="G71" s="41" t="str">
        <f>IF(OR(C71=0,SUMIF('Trade Log'!N:N,"&lt;0")=0),"-",SUMIF('Trade Log'!X:X,"Moved Stop",'Trade Log'!N:N)/SUMIF('Trade Log'!N:N,"&lt;0"))</f>
        <v>-</v>
      </c>
    </row>
    <row r="72" spans="2:7" ht="15.75" customHeight="1" x14ac:dyDescent="0.2">
      <c r="B72" s="39" t="s">
        <v>131</v>
      </c>
      <c r="C72" s="40">
        <f>COUNTIF('Trade Log'!X:X,"Oversized")</f>
        <v>0</v>
      </c>
      <c r="D72" s="41" t="str">
        <f>IF(C72=0,"-",COUNTIFS('Trade Log'!X:X,"Oversized",'Trade Log'!Q:Q,"WIN")/C72)</f>
        <v>-</v>
      </c>
      <c r="E72" s="62" t="str">
        <f>IF(C72=0,"-",SUMIF('Trade Log'!X:X,"Oversized",'Trade Log'!N:N))</f>
        <v>-</v>
      </c>
      <c r="F72" s="42" t="str">
        <f>IF(C72=0,"-",AVERAGEIF('Trade Log'!X:X,"Oversized",'Trade Log'!N:N))</f>
        <v>-</v>
      </c>
      <c r="G72" s="41" t="str">
        <f>IF(OR(C72=0,SUMIF('Trade Log'!N:N,"&lt;0")=0),"-",SUMIF('Trade Log'!X:X,"Oversized",'Trade Log'!N:N)/SUMIF('Trade Log'!N:N,"&lt;0"))</f>
        <v>-</v>
      </c>
    </row>
    <row r="73" spans="2:7" ht="15" customHeight="1" x14ac:dyDescent="0.2">
      <c r="B73" s="39" t="s">
        <v>132</v>
      </c>
      <c r="C73" s="40">
        <f>COUNTIF('Trade Log'!X:X,"Forced Trade")</f>
        <v>0</v>
      </c>
      <c r="D73" s="41" t="str">
        <f>IF(C73=0,"-",COUNTIFS('Trade Log'!X:X,"Forced Trade",'Trade Log'!Q:Q,"WIN")/C73)</f>
        <v>-</v>
      </c>
      <c r="E73" s="62" t="str">
        <f>IF(C73=0,"-",SUMIF('Trade Log'!X:X,"Forced Trade",'Trade Log'!N:N))</f>
        <v>-</v>
      </c>
      <c r="F73" s="42" t="str">
        <f>IF(C73=0,"-",AVERAGEIF('Trade Log'!X:X,"Forced Trade",'Trade Log'!N:N))</f>
        <v>-</v>
      </c>
      <c r="G73" s="41" t="str">
        <f>IF(OR(C73=0,SUMIF('Trade Log'!N:N,"&lt;0")=0),"-",SUMIF('Trade Log'!X:X,"Forced Trade",'Trade Log'!N:N)/SUMIF('Trade Log'!N:N,"&lt;0"))</f>
        <v>-</v>
      </c>
    </row>
    <row r="74" spans="2:7" ht="15.75" customHeight="1" x14ac:dyDescent="0.2">
      <c r="B74" s="39" t="s">
        <v>133</v>
      </c>
      <c r="C74" s="40">
        <f>COUNTIF('Trade Log'!X:X,"FOMO Entry")</f>
        <v>0</v>
      </c>
      <c r="D74" s="41" t="str">
        <f>IF(C74=0,"-",COUNTIFS('Trade Log'!X:X,"FOMO Entry",'Trade Log'!Q:Q,"WIN")/C74)</f>
        <v>-</v>
      </c>
      <c r="E74" s="62" t="str">
        <f>IF(C74=0,"-",SUMIF('Trade Log'!X:X,"FOMO Entry",'Trade Log'!N:N))</f>
        <v>-</v>
      </c>
      <c r="F74" s="42" t="str">
        <f>IF(C74=0,"-",AVERAGEIF('Trade Log'!X:X,"FOMO Entry",'Trade Log'!N:N))</f>
        <v>-</v>
      </c>
      <c r="G74" s="41" t="str">
        <f>IF(OR(C74=0,SUMIF('Trade Log'!N:N,"&lt;0")=0),"-",SUMIF('Trade Log'!X:X,"FOMO Entry",'Trade Log'!N:N)/SUMIF('Trade Log'!N:N,"&lt;0"))</f>
        <v>-</v>
      </c>
    </row>
    <row r="75" spans="2:7" ht="15.75" customHeight="1" x14ac:dyDescent="0.2">
      <c r="B75" s="39" t="s">
        <v>134</v>
      </c>
      <c r="C75" s="40">
        <f>COUNTIF('Trade Log'!X:X,"Revenge Trade")</f>
        <v>0</v>
      </c>
      <c r="D75" s="41" t="str">
        <f>IF(C75=0,"-",COUNTIFS('Trade Log'!X:X,"Revenge Trade",'Trade Log'!Q:Q,"WIN")/C75)</f>
        <v>-</v>
      </c>
      <c r="E75" s="62" t="str">
        <f>IF(C75=0,"-",SUMIF('Trade Log'!X:X,"Revenge Trade",'Trade Log'!N:N))</f>
        <v>-</v>
      </c>
      <c r="F75" s="42" t="str">
        <f>IF(C75=0,"-",AVERAGEIF('Trade Log'!X:X,"Revenge Trade",'Trade Log'!N:N))</f>
        <v>-</v>
      </c>
      <c r="G75" s="41" t="str">
        <f>IF(OR(C75=0,SUMIF('Trade Log'!N:N,"&lt;0")=0),"-",SUMIF('Trade Log'!X:X,"Revenge Trade",'Trade Log'!N:N)/SUMIF('Trade Log'!N:N,"&lt;0"))</f>
        <v>-</v>
      </c>
    </row>
    <row r="77" spans="2:7" ht="18" customHeight="1" x14ac:dyDescent="0.2">
      <c r="B77" s="63" t="s">
        <v>135</v>
      </c>
      <c r="E77" s="64">
        <f>SUMIF('Trade Log'!X:X,"None",'Trade Log'!N:N)</f>
        <v>0</v>
      </c>
    </row>
    <row r="78" spans="2:7" ht="15.75" customHeight="1" x14ac:dyDescent="0.2">
      <c r="B78" s="31" t="s">
        <v>136</v>
      </c>
    </row>
    <row r="79" spans="2:7" ht="15" customHeight="1" x14ac:dyDescent="0.2">
      <c r="B79" s="4" t="s">
        <v>137</v>
      </c>
      <c r="C79" s="4" t="s">
        <v>138</v>
      </c>
      <c r="D79" s="4" t="s">
        <v>139</v>
      </c>
      <c r="E79" s="4" t="s">
        <v>140</v>
      </c>
    </row>
    <row r="80" spans="2:7" ht="27.75" customHeight="1" x14ac:dyDescent="0.2">
      <c r="B80" s="39" t="s">
        <v>141</v>
      </c>
      <c r="C80" s="42" t="str">
        <f>IFERROR(IF(COUNTIF('Trade Log'!Q:Q,"WIN")=0,"-",AVERAGEIF('Trade Log'!Q:Q,"WIN",'Trade Log'!AA:AA)),"-")</f>
        <v>-</v>
      </c>
      <c r="D80" s="42" t="str">
        <f>IFERROR(IF(COUNTIF('Trade Log'!Q:Q,"LOSS")=0,"-",AVERAGEIF('Trade Log'!Q:Q,"LOSS",'Trade Log'!AA:AA)),"-")</f>
        <v>-</v>
      </c>
      <c r="E80" s="42" t="str">
        <f>IF(COUNTA('Trade Log'!AA2:AA500)=0,"-",AVERAGE('Trade Log'!AA2:AA500))</f>
        <v>-</v>
      </c>
    </row>
    <row r="81" spans="2:5" ht="27.75" customHeight="1" x14ac:dyDescent="0.2">
      <c r="B81" s="39" t="s">
        <v>142</v>
      </c>
      <c r="C81" s="42" t="str">
        <f>IFERROR(IF(COUNTIF('Trade Log'!Q:Q,"WIN")=0,"-",AVERAGEIF('Trade Log'!Q:Q,"WIN",'Trade Log'!AB:AB)),"-")</f>
        <v>-</v>
      </c>
      <c r="D81" s="42" t="str">
        <f>IFERROR(IF(COUNTIF('Trade Log'!Q:Q,"LOSS")=0,"-",AVERAGEIF('Trade Log'!Q:Q,"LOSS",'Trade Log'!AB:AB)),"-")</f>
        <v>-</v>
      </c>
      <c r="E81" s="42" t="str">
        <f>IF(COUNTA('Trade Log'!AB2:AB500)=0,"-",AVERAGE('Trade Log'!AB2:AB500))</f>
        <v>-</v>
      </c>
    </row>
    <row r="82" spans="2:5" ht="27.75" customHeight="1" x14ac:dyDescent="0.2">
      <c r="B82" s="39" t="s">
        <v>143</v>
      </c>
      <c r="C82" s="42">
        <f>IFERROR(IF(COUNTIF('Trade Log'!Q:Q,"WIN")=0,"-",1),"-")</f>
        <v>1</v>
      </c>
      <c r="D82" s="42" t="s">
        <v>144</v>
      </c>
      <c r="E82" s="42" t="s">
        <v>144</v>
      </c>
    </row>
    <row r="84" spans="2:5" ht="15" customHeight="1" x14ac:dyDescent="0.2">
      <c r="B84" s="65" t="s">
        <v>145</v>
      </c>
    </row>
    <row r="85" spans="2:5" ht="15" customHeight="1" x14ac:dyDescent="0.2">
      <c r="B85" s="65" t="s">
        <v>146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65100"/>
  </sheetPr>
  <dimension ref="A1:H44"/>
  <sheetViews>
    <sheetView topLeftCell="A12" zoomScaleNormal="100" workbookViewId="0">
      <selection sqref="A1:H1"/>
    </sheetView>
  </sheetViews>
  <sheetFormatPr baseColWidth="10" defaultColWidth="8.6640625" defaultRowHeight="15" customHeight="1" x14ac:dyDescent="0.2"/>
  <cols>
    <col min="2" max="2" width="28" customWidth="1"/>
    <col min="3" max="3" width="16" customWidth="1"/>
  </cols>
  <sheetData>
    <row r="1" spans="1:8" ht="34.5" customHeight="1" x14ac:dyDescent="0.2">
      <c r="A1" s="2" t="s">
        <v>147</v>
      </c>
      <c r="B1" s="2"/>
      <c r="C1" s="2"/>
      <c r="D1" s="2"/>
      <c r="E1" s="2"/>
      <c r="F1" s="2"/>
      <c r="G1" s="2"/>
      <c r="H1" s="2"/>
    </row>
    <row r="3" spans="1:8" ht="15" customHeight="1" x14ac:dyDescent="0.2">
      <c r="B3" s="31" t="s">
        <v>148</v>
      </c>
    </row>
    <row r="4" spans="1:8" ht="15" customHeight="1" x14ac:dyDescent="0.2">
      <c r="B4" s="66" t="s">
        <v>149</v>
      </c>
      <c r="C4" s="67" t="str">
        <f>IF(COUNTA('Trade Log'!Q2:Q1000)=0,"-",IF(INDEX('Trade Log'!Q2:Q1000,COUNTA('Trade Log'!Q2:Q1000))="WIN","W","L"))</f>
        <v>L</v>
      </c>
    </row>
    <row r="5" spans="1:8" ht="15" customHeight="1" x14ac:dyDescent="0.2">
      <c r="B5" s="66" t="s">
        <v>150</v>
      </c>
      <c r="C5" s="67" t="str">
        <f>IF(COUNTA('Trade Log'!Q2:Q1000)=0,"-","See daily log")</f>
        <v>See daily log</v>
      </c>
    </row>
    <row r="6" spans="1:8" ht="15" customHeight="1" x14ac:dyDescent="0.2">
      <c r="B6" s="66" t="s">
        <v>151</v>
      </c>
      <c r="C6" s="67" t="str">
        <f>IF(COUNTA('Trade Log'!Q2:Q1000)=0,"-","See daily log")</f>
        <v>See daily log</v>
      </c>
    </row>
    <row r="7" spans="1:8" ht="15" customHeight="1" x14ac:dyDescent="0.2">
      <c r="B7" s="66" t="s">
        <v>152</v>
      </c>
      <c r="C7" s="68">
        <f>IF(COUNTA('Trade Log'!N2:N1000)=0,"-",MAX('Trade Log'!N2:N1000))</f>
        <v>36</v>
      </c>
    </row>
    <row r="8" spans="1:8" ht="15" customHeight="1" x14ac:dyDescent="0.2">
      <c r="B8" s="66" t="s">
        <v>153</v>
      </c>
      <c r="C8" s="68">
        <f>IF(COUNTA('Trade Log'!N2:N1000)=0,"-",MIN('Trade Log'!N2:N1000))</f>
        <v>-5</v>
      </c>
    </row>
    <row r="9" spans="1:8" ht="15" customHeight="1" x14ac:dyDescent="0.2">
      <c r="B9" s="66" t="s">
        <v>154</v>
      </c>
      <c r="C9" s="67">
        <f>IF(OR(COUNTIF('Trade Log'!Q:Q,"WIN")=0,COUNTIF('Trade Log'!Q:Q,"LOSS")=0),"-",ABS(AVERAGEIF('Trade Log'!Q:Q,"WIN",'Trade Log'!N:N)/AVERAGEIF('Trade Log'!Q:Q,"LOSS",'Trade Log'!N:N)))</f>
        <v>4.75</v>
      </c>
    </row>
    <row r="10" spans="1:8" ht="15" customHeight="1" x14ac:dyDescent="0.2">
      <c r="B10" s="66" t="s">
        <v>155</v>
      </c>
      <c r="C10" s="69">
        <f>IF(COUNTA('Trade Log'!R2:R1000)=0,"-",AVERAGE('Trade Log'!R2:R1000))</f>
        <v>17</v>
      </c>
    </row>
    <row r="11" spans="1:8" ht="15" customHeight="1" x14ac:dyDescent="0.2">
      <c r="B11" s="66" t="s">
        <v>156</v>
      </c>
      <c r="C11" s="69" t="str">
        <f>IFERROR(IF(COUNTA('Trade Log'!A2:A500)=0,"-",COUNTA('Trade Log'!A2:A500)/MAX(1,SUMPRODUCT(1/COUNTIF('Trade Log'!A2:A500,'Trade Log'!A2:A500)))),"-")</f>
        <v>-</v>
      </c>
    </row>
    <row r="14" spans="1:8" ht="15" customHeight="1" x14ac:dyDescent="0.2">
      <c r="B14" s="31" t="s">
        <v>157</v>
      </c>
    </row>
    <row r="15" spans="1:8" ht="26.25" customHeight="1" x14ac:dyDescent="0.2">
      <c r="A15" s="32"/>
      <c r="B15" s="4" t="s">
        <v>40</v>
      </c>
      <c r="C15" s="4" t="s">
        <v>123</v>
      </c>
      <c r="D15" s="4" t="s">
        <v>65</v>
      </c>
      <c r="E15" s="4" t="s">
        <v>76</v>
      </c>
    </row>
    <row r="16" spans="1:8" ht="15" customHeight="1" x14ac:dyDescent="0.2">
      <c r="B16" s="39" t="s">
        <v>158</v>
      </c>
      <c r="C16" s="40">
        <f>COUNTIF('Trade Log'!M:M,"Target Hit")</f>
        <v>0</v>
      </c>
      <c r="D16" s="41" t="str">
        <f>IF(C16=0,"-",COUNTIFS('Trade Log'!M:M,"Target Hit",'Trade Log'!Q:Q,"WIN")/C16)</f>
        <v>-</v>
      </c>
      <c r="E16" s="42" t="str">
        <f>IF(C16=0,"-",AVERAGEIF('Trade Log'!M:M,"Target Hit",'Trade Log'!N:N))</f>
        <v>-</v>
      </c>
    </row>
    <row r="17" spans="1:7" ht="15" customHeight="1" x14ac:dyDescent="0.2">
      <c r="B17" s="39" t="s">
        <v>159</v>
      </c>
      <c r="C17" s="40">
        <f>COUNTIF('Trade Log'!M:M,"Stop Hit")</f>
        <v>0</v>
      </c>
      <c r="D17" s="41" t="str">
        <f>IF(C17=0,"-",COUNTIFS('Trade Log'!M:M,"Stop Hit",'Trade Log'!Q:Q,"WIN")/C17)</f>
        <v>-</v>
      </c>
      <c r="E17" s="42" t="str">
        <f>IF(C17=0,"-",AVERAGEIF('Trade Log'!M:M,"Stop Hit",'Trade Log'!N:N))</f>
        <v>-</v>
      </c>
    </row>
    <row r="18" spans="1:7" ht="15" customHeight="1" x14ac:dyDescent="0.2">
      <c r="B18" s="39" t="s">
        <v>160</v>
      </c>
      <c r="C18" s="40">
        <f>COUNTIF('Trade Log'!M:M,"Trailing Stop")</f>
        <v>0</v>
      </c>
      <c r="D18" s="41" t="str">
        <f>IF(C18=0,"-",COUNTIFS('Trade Log'!M:M,"Trailing Stop",'Trade Log'!Q:Q,"WIN")/C18)</f>
        <v>-</v>
      </c>
      <c r="E18" s="42" t="str">
        <f>IF(C18=0,"-",AVERAGEIF('Trade Log'!M:M,"Trailing Stop",'Trade Log'!N:N))</f>
        <v>-</v>
      </c>
    </row>
    <row r="19" spans="1:7" ht="15" customHeight="1" x14ac:dyDescent="0.2">
      <c r="B19" s="39" t="s">
        <v>161</v>
      </c>
      <c r="C19" s="40">
        <f>COUNTIF('Trade Log'!M:M,"Time Exit")</f>
        <v>0</v>
      </c>
      <c r="D19" s="41" t="str">
        <f>IF(C19=0,"-",COUNTIFS('Trade Log'!M:M,"Time Exit",'Trade Log'!Q:Q,"WIN")/C19)</f>
        <v>-</v>
      </c>
      <c r="E19" s="42" t="str">
        <f>IF(C19=0,"-",AVERAGEIF('Trade Log'!M:M,"Time Exit",'Trade Log'!N:N))</f>
        <v>-</v>
      </c>
    </row>
    <row r="20" spans="1:7" ht="15" customHeight="1" x14ac:dyDescent="0.2">
      <c r="B20" s="39" t="s">
        <v>162</v>
      </c>
      <c r="C20" s="40">
        <f>COUNTIF('Trade Log'!M:M,"Manual")</f>
        <v>0</v>
      </c>
      <c r="D20" s="41" t="str">
        <f>IF(C20=0,"-",COUNTIFS('Trade Log'!M:M,"Manual",'Trade Log'!Q:Q,"WIN")/C20)</f>
        <v>-</v>
      </c>
      <c r="E20" s="42" t="str">
        <f>IF(C20=0,"-",AVERAGEIF('Trade Log'!M:M,"Manual",'Trade Log'!N:N))</f>
        <v>-</v>
      </c>
    </row>
    <row r="21" spans="1:7" ht="15" customHeight="1" x14ac:dyDescent="0.2">
      <c r="B21" s="39" t="s">
        <v>163</v>
      </c>
      <c r="C21" s="40">
        <f>COUNTIF('Trade Log'!M:M,"Partial")</f>
        <v>0</v>
      </c>
      <c r="D21" s="41" t="str">
        <f>IF(C21=0,"-",COUNTIFS('Trade Log'!M:M,"Partial",'Trade Log'!Q:Q,"WIN")/C21)</f>
        <v>-</v>
      </c>
      <c r="E21" s="42" t="str">
        <f>IF(C21=0,"-",AVERAGEIF('Trade Log'!M:M,"Partial",'Trade Log'!N:N))</f>
        <v>-</v>
      </c>
    </row>
    <row r="24" spans="1:7" ht="15" customHeight="1" x14ac:dyDescent="0.2">
      <c r="B24" s="31" t="s">
        <v>164</v>
      </c>
    </row>
    <row r="25" spans="1:7" ht="26.25" customHeight="1" x14ac:dyDescent="0.2">
      <c r="A25" s="32"/>
      <c r="B25" s="4" t="s">
        <v>31</v>
      </c>
      <c r="C25" s="4" t="s">
        <v>74</v>
      </c>
      <c r="D25" s="4" t="s">
        <v>75</v>
      </c>
      <c r="E25" s="4" t="s">
        <v>65</v>
      </c>
      <c r="F25" s="4" t="s">
        <v>66</v>
      </c>
      <c r="G25" s="4" t="s">
        <v>77</v>
      </c>
    </row>
    <row r="26" spans="1:7" ht="15" customHeight="1" x14ac:dyDescent="0.2">
      <c r="B26" s="33" t="s">
        <v>58</v>
      </c>
      <c r="C26" s="34">
        <f>COUNTIF('Trade Log'!D:D,"TSLA")</f>
        <v>3</v>
      </c>
      <c r="D26" s="34">
        <f>COUNTIFS('Trade Log'!D:D,"TSLA",'Trade Log'!Q:Q,"WIN")</f>
        <v>3</v>
      </c>
      <c r="E26" s="35">
        <f t="shared" ref="E26:E35" si="0">IF(C26=0,"-",D26/C26)</f>
        <v>1</v>
      </c>
      <c r="F26" s="36">
        <f>IF(C26=0,"-",SUMIF('Trade Log'!D:D,"TSLA",'Trade Log'!N:N))</f>
        <v>59</v>
      </c>
      <c r="G26" s="37" t="str">
        <f>IFERROR(IF(C26=0,"-",AVERAGEIF('Trade Log'!D:D,"TSLA",'Trade Log'!P:R)),"-")</f>
        <v>-</v>
      </c>
    </row>
    <row r="27" spans="1:7" ht="15" customHeight="1" x14ac:dyDescent="0.2">
      <c r="B27" s="39" t="s">
        <v>165</v>
      </c>
      <c r="C27" s="40">
        <f>COUNTIF('Trade Log'!D:D,"AAPL")</f>
        <v>0</v>
      </c>
      <c r="D27" s="40">
        <f>COUNTIFS('Trade Log'!D:D,"AAPL",'Trade Log'!Q:Q,"WIN")</f>
        <v>0</v>
      </c>
      <c r="E27" s="41" t="str">
        <f t="shared" si="0"/>
        <v>-</v>
      </c>
      <c r="F27" s="42" t="str">
        <f>IF(C27=0,"-",SUMIF('Trade Log'!D:D,"AAPL",'Trade Log'!N:N))</f>
        <v>-</v>
      </c>
      <c r="G27" s="43" t="str">
        <f>IF(C27=0,"-",AVERAGEIF('Trade Log'!D:D,"AAPL",'Trade Log'!P:R))</f>
        <v>-</v>
      </c>
    </row>
    <row r="28" spans="1:7" ht="15" customHeight="1" x14ac:dyDescent="0.2">
      <c r="B28" s="33" t="s">
        <v>166</v>
      </c>
      <c r="C28" s="34">
        <f>COUNTIF('Trade Log'!D:D,"NVDA")</f>
        <v>0</v>
      </c>
      <c r="D28" s="34">
        <f>COUNTIFS('Trade Log'!D:D,"NVDA",'Trade Log'!Q:Q,"WIN")</f>
        <v>0</v>
      </c>
      <c r="E28" s="35" t="str">
        <f t="shared" si="0"/>
        <v>-</v>
      </c>
      <c r="F28" s="36" t="str">
        <f>IF(C28=0,"-",SUMIF('Trade Log'!D:D,"NVDA",'Trade Log'!N:N))</f>
        <v>-</v>
      </c>
      <c r="G28" s="37" t="str">
        <f>IF(C28=0,"-",AVERAGEIF('Trade Log'!D:D,"NVDA",'Trade Log'!P:R))</f>
        <v>-</v>
      </c>
    </row>
    <row r="29" spans="1:7" ht="15" customHeight="1" x14ac:dyDescent="0.2">
      <c r="B29" s="39" t="s">
        <v>167</v>
      </c>
      <c r="C29" s="40">
        <f>COUNTIF('Trade Log'!D:D,"SPY")</f>
        <v>0</v>
      </c>
      <c r="D29" s="40">
        <f>COUNTIFS('Trade Log'!D:D,"SPY",'Trade Log'!Q:Q,"WIN")</f>
        <v>0</v>
      </c>
      <c r="E29" s="41" t="str">
        <f t="shared" si="0"/>
        <v>-</v>
      </c>
      <c r="F29" s="42" t="str">
        <f>IF(C29=0,"-",SUMIF('Trade Log'!D:D,"SPY",'Trade Log'!N:N))</f>
        <v>-</v>
      </c>
      <c r="G29" s="43" t="str">
        <f>IF(C29=0,"-",AVERAGEIF('Trade Log'!D:D,"SPY",'Trade Log'!P:R))</f>
        <v>-</v>
      </c>
    </row>
    <row r="30" spans="1:7" ht="15" customHeight="1" x14ac:dyDescent="0.2">
      <c r="B30" s="33" t="s">
        <v>168</v>
      </c>
      <c r="C30" s="34">
        <f>COUNTIF('Trade Log'!D:D,"QQQ")</f>
        <v>0</v>
      </c>
      <c r="D30" s="34">
        <f>COUNTIFS('Trade Log'!D:D,"QQQ",'Trade Log'!Q:Q,"WIN")</f>
        <v>0</v>
      </c>
      <c r="E30" s="35" t="str">
        <f t="shared" si="0"/>
        <v>-</v>
      </c>
      <c r="F30" s="36" t="str">
        <f>IF(C30=0,"-",SUMIF('Trade Log'!D:D,"QQQ",'Trade Log'!N:N))</f>
        <v>-</v>
      </c>
      <c r="G30" s="37" t="str">
        <f>IF(C30=0,"-",AVERAGEIF('Trade Log'!D:D,"QQQ",'Trade Log'!P:R))</f>
        <v>-</v>
      </c>
    </row>
    <row r="31" spans="1:7" ht="15" customHeight="1" x14ac:dyDescent="0.2">
      <c r="B31" s="39" t="s">
        <v>169</v>
      </c>
      <c r="C31" s="40">
        <f>COUNTIF('Trade Log'!D:D,"TQQQ")</f>
        <v>0</v>
      </c>
      <c r="D31" s="40">
        <f>COUNTIFS('Trade Log'!D:D,"TQQQ",'Trade Log'!Q:Q,"WIN")</f>
        <v>0</v>
      </c>
      <c r="E31" s="41" t="str">
        <f t="shared" si="0"/>
        <v>-</v>
      </c>
      <c r="F31" s="42" t="str">
        <f>IF(C31=0,"-",SUMIF('Trade Log'!D:D,"TQQQ",'Trade Log'!N:N))</f>
        <v>-</v>
      </c>
      <c r="G31" s="43" t="str">
        <f>IF(C31=0,"-",AVERAGEIF('Trade Log'!D:D,"TQQQ",'Trade Log'!P:R))</f>
        <v>-</v>
      </c>
    </row>
    <row r="32" spans="1:7" ht="15" customHeight="1" x14ac:dyDescent="0.2">
      <c r="B32" s="33" t="s">
        <v>170</v>
      </c>
      <c r="C32" s="34">
        <f>COUNTIF('Trade Log'!D:D,"AMD")</f>
        <v>0</v>
      </c>
      <c r="D32" s="34">
        <f>COUNTIFS('Trade Log'!D:D,"AMD",'Trade Log'!Q:Q,"WIN")</f>
        <v>0</v>
      </c>
      <c r="E32" s="35" t="str">
        <f t="shared" si="0"/>
        <v>-</v>
      </c>
      <c r="F32" s="36" t="str">
        <f>IF(C32=0,"-",SUMIF('Trade Log'!D:D,"AMD",'Trade Log'!N:N))</f>
        <v>-</v>
      </c>
      <c r="G32" s="37" t="str">
        <f>IF(C32=0,"-",AVERAGEIF('Trade Log'!D:D,"AMD",'Trade Log'!P:R))</f>
        <v>-</v>
      </c>
    </row>
    <row r="33" spans="2:7" ht="15" customHeight="1" x14ac:dyDescent="0.2">
      <c r="B33" s="39" t="s">
        <v>171</v>
      </c>
      <c r="C33" s="40">
        <f>COUNTIF('Trade Log'!D:D,"NVDL")</f>
        <v>0</v>
      </c>
      <c r="D33" s="40">
        <f>COUNTIFS('Trade Log'!D:D,"NVDL",'Trade Log'!Q:Q,"WIN")</f>
        <v>0</v>
      </c>
      <c r="E33" s="41" t="str">
        <f t="shared" si="0"/>
        <v>-</v>
      </c>
      <c r="F33" s="42" t="str">
        <f>IF(C33=0,"-",SUMIF('Trade Log'!D:D,"NVDL",'Trade Log'!N:N))</f>
        <v>-</v>
      </c>
      <c r="G33" s="43" t="str">
        <f>IF(C33=0,"-",AVERAGEIF('Trade Log'!D:D,"NVDL",'Trade Log'!P:R))</f>
        <v>-</v>
      </c>
    </row>
    <row r="34" spans="2:7" ht="15" customHeight="1" x14ac:dyDescent="0.2">
      <c r="B34" s="33" t="s">
        <v>172</v>
      </c>
      <c r="C34" s="34">
        <f>COUNTIF('Trade Log'!D:D,"SPXL")</f>
        <v>0</v>
      </c>
      <c r="D34" s="34">
        <f>COUNTIFS('Trade Log'!D:D,"SPXL",'Trade Log'!Q:Q,"WIN")</f>
        <v>0</v>
      </c>
      <c r="E34" s="35" t="str">
        <f t="shared" si="0"/>
        <v>-</v>
      </c>
      <c r="F34" s="36" t="str">
        <f>IF(C34=0,"-",SUMIF('Trade Log'!D:D,"SPXL",'Trade Log'!N:N))</f>
        <v>-</v>
      </c>
      <c r="G34" s="37" t="str">
        <f>IF(C34=0,"-",AVERAGEIF('Trade Log'!D:D,"SPXL",'Trade Log'!P:R))</f>
        <v>-</v>
      </c>
    </row>
    <row r="35" spans="2:7" ht="15" customHeight="1" x14ac:dyDescent="0.2">
      <c r="B35" s="39" t="s">
        <v>173</v>
      </c>
      <c r="C35" s="40">
        <f>COUNTIF('Trade Log'!D:D,"META")</f>
        <v>0</v>
      </c>
      <c r="D35" s="40">
        <f>COUNTIFS('Trade Log'!D:D,"META",'Trade Log'!Q:Q,"WIN")</f>
        <v>0</v>
      </c>
      <c r="E35" s="41" t="str">
        <f t="shared" si="0"/>
        <v>-</v>
      </c>
      <c r="F35" s="42" t="str">
        <f>IF(C35=0,"-",SUMIF('Trade Log'!D:D,"META",'Trade Log'!N:N))</f>
        <v>-</v>
      </c>
      <c r="G35" s="43" t="str">
        <f>IF(C35=0,"-",AVERAGEIF('Trade Log'!D:D,"META",'Trade Log'!P:R))</f>
        <v>-</v>
      </c>
    </row>
    <row r="38" spans="2:7" ht="15.75" customHeight="1" x14ac:dyDescent="0.2">
      <c r="B38" s="31" t="s">
        <v>174</v>
      </c>
    </row>
    <row r="39" spans="2:7" ht="15.75" customHeight="1" x14ac:dyDescent="0.2">
      <c r="B39" s="66" t="s">
        <v>175</v>
      </c>
      <c r="C39" s="68">
        <f>MIN('Trade Log'!N2:N500)</f>
        <v>-5</v>
      </c>
    </row>
    <row r="40" spans="2:7" ht="15.75" customHeight="1" x14ac:dyDescent="0.2">
      <c r="B40" s="66" t="s">
        <v>176</v>
      </c>
      <c r="C40" s="67">
        <f>COUNTIF('Trade Log'!P2:P500,"&lt;-1")</f>
        <v>0</v>
      </c>
    </row>
    <row r="41" spans="2:7" ht="15.75" customHeight="1" x14ac:dyDescent="0.2">
      <c r="B41" s="66" t="s">
        <v>177</v>
      </c>
      <c r="C41" s="70" t="str">
        <f>IFERROR(IF(COUNTIF('Trade Log'!Q:Q,"LOSS")=0,"-",AVERAGEIF('Trade Log'!Q:Q,"LOSS",'Trade Log'!P:P)),"-")</f>
        <v>-</v>
      </c>
    </row>
    <row r="42" spans="2:7" ht="15.75" customHeight="1" x14ac:dyDescent="0.2">
      <c r="B42" s="66" t="s">
        <v>178</v>
      </c>
      <c r="C42" s="70" t="str">
        <f>IFERROR(IF(COUNTIF('Trade Log'!Q:Q,"WIN")=0,"-",AVERAGEIF('Trade Log'!Q:Q,"WIN",'Trade Log'!P:P)),"-")</f>
        <v>-</v>
      </c>
    </row>
    <row r="43" spans="2:7" ht="15.75" customHeight="1" x14ac:dyDescent="0.2">
      <c r="B43" s="66" t="s">
        <v>179</v>
      </c>
      <c r="C43" s="69">
        <f>IF(COUNTIF('Trade Log'!Q:Q,"WIN")=0,"-",MEDIAN(IF('Trade Log'!Q2:Q500="WIN",'Trade Log'!R2:R500)))</f>
        <v>0</v>
      </c>
    </row>
    <row r="44" spans="2:7" ht="15.75" customHeight="1" x14ac:dyDescent="0.2">
      <c r="B44" s="66" t="s">
        <v>180</v>
      </c>
      <c r="C44" s="69">
        <f>IF(COUNTIF('Trade Log'!Q:Q,"LOSS")=0,"-",MEDIAN(IF('Trade Log'!Q2:Q500="LOSS",'Trade Log'!R2:R500)))</f>
        <v>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7D32"/>
  </sheetPr>
  <dimension ref="A1:G252"/>
  <sheetViews>
    <sheetView zoomScaleNormal="100" workbookViewId="0">
      <pane ySplit="2" topLeftCell="A3" activePane="bottomLeft" state="frozen"/>
      <selection pane="bottomLeft" activeCell="A6" sqref="A6:XFD6"/>
    </sheetView>
  </sheetViews>
  <sheetFormatPr baseColWidth="10" defaultColWidth="8.6640625" defaultRowHeight="15" customHeight="1" x14ac:dyDescent="0.2"/>
  <cols>
    <col min="1" max="7" width="16" customWidth="1"/>
  </cols>
  <sheetData>
    <row r="1" spans="1:7" ht="17.25" customHeight="1" x14ac:dyDescent="0.2">
      <c r="A1" s="2" t="s">
        <v>181</v>
      </c>
      <c r="B1" s="2"/>
      <c r="C1" s="2"/>
      <c r="D1" s="2"/>
      <c r="E1" s="2"/>
      <c r="F1" s="2"/>
      <c r="G1" s="2"/>
    </row>
    <row r="2" spans="1:7" ht="26.25" customHeight="1" x14ac:dyDescent="0.2">
      <c r="A2" s="4" t="s">
        <v>29</v>
      </c>
      <c r="B2" s="4" t="s">
        <v>74</v>
      </c>
      <c r="C2" s="4" t="s">
        <v>75</v>
      </c>
      <c r="D2" s="4" t="s">
        <v>78</v>
      </c>
      <c r="E2" s="4" t="s">
        <v>65</v>
      </c>
      <c r="F2" s="4" t="s">
        <v>182</v>
      </c>
      <c r="G2" s="4" t="s">
        <v>183</v>
      </c>
    </row>
    <row r="3" spans="1:7" ht="15" customHeight="1" x14ac:dyDescent="0.2">
      <c r="A3" s="71">
        <v>46084</v>
      </c>
      <c r="B3" s="40">
        <f>IF(A3="","",COUNTIF('Trade Log'!B:B,A3))</f>
        <v>0</v>
      </c>
      <c r="C3" s="40">
        <f>IF(A3="","",COUNTIFS('Trade Log'!B:B,A3,'Trade Log'!Q:Q,"WIN"))</f>
        <v>0</v>
      </c>
      <c r="D3" s="40">
        <f>IF(A3="","",COUNTIFS('Trade Log'!B:B,A3,'Trade Log'!Q:Q,"LOSS"))</f>
        <v>0</v>
      </c>
      <c r="E3" s="41" t="str">
        <f t="shared" ref="E3:E66" si="0">IF(OR(A3="",B3=0),"-",C3/B3)</f>
        <v>-</v>
      </c>
      <c r="F3" s="42">
        <f>IF(A3="","",SUMIF('Trade Log'!B:B,A3,'Trade Log'!N:N))</f>
        <v>0</v>
      </c>
      <c r="G3" s="42">
        <f>IF(A3="","",SUM($F$3:F3))</f>
        <v>0</v>
      </c>
    </row>
    <row r="4" spans="1:7" ht="15" customHeight="1" x14ac:dyDescent="0.2">
      <c r="A4" s="71">
        <v>46085</v>
      </c>
      <c r="B4" s="40">
        <f>IF(A4="","",COUNTIF('Trade Log'!B:B,A4))</f>
        <v>0</v>
      </c>
      <c r="C4" s="40">
        <f>IF(A4="","",COUNTIFS('Trade Log'!B:B,A4,'Trade Log'!Q:Q,"WIN"))</f>
        <v>0</v>
      </c>
      <c r="D4" s="40">
        <f>IF(A4="","",COUNTIFS('Trade Log'!B:B,A4,'Trade Log'!Q:Q,"LOSS"))</f>
        <v>0</v>
      </c>
      <c r="E4" s="41" t="str">
        <f t="shared" si="0"/>
        <v>-</v>
      </c>
      <c r="F4" s="42">
        <f>IF(A4="","",SUMIF('Trade Log'!B:B,A4,'Trade Log'!N:N))</f>
        <v>0</v>
      </c>
      <c r="G4" s="42">
        <f>IF(A4="","",SUM($F$3:F4))</f>
        <v>0</v>
      </c>
    </row>
    <row r="5" spans="1:7" ht="15" customHeight="1" x14ac:dyDescent="0.2">
      <c r="A5" s="71">
        <v>46086</v>
      </c>
      <c r="B5" s="40">
        <f>IF(A5="","",COUNTIF('Trade Log'!B:B,A5))</f>
        <v>0</v>
      </c>
      <c r="C5" s="40">
        <f>IF(A5="","",COUNTIFS('Trade Log'!B:B,A5,'Trade Log'!Q:Q,"WIN"))</f>
        <v>0</v>
      </c>
      <c r="D5" s="40">
        <f>IF(A5="","",COUNTIFS('Trade Log'!B:B,A5,'Trade Log'!Q:Q,"LOSS"))</f>
        <v>0</v>
      </c>
      <c r="E5" s="41" t="str">
        <f t="shared" si="0"/>
        <v>-</v>
      </c>
      <c r="F5" s="42">
        <f>IF(A5="","",SUMIF('Trade Log'!B:B,A5,'Trade Log'!N:N))</f>
        <v>0</v>
      </c>
      <c r="G5" s="42">
        <f>IF(A5="","",SUM($F$3:F5))</f>
        <v>0</v>
      </c>
    </row>
    <row r="6" spans="1:7" ht="15" customHeight="1" x14ac:dyDescent="0.2">
      <c r="A6" s="71"/>
      <c r="B6" s="40" t="str">
        <f>IF(A6="","",COUNTIF('Trade Log'!B:B,A6))</f>
        <v/>
      </c>
      <c r="C6" s="40" t="str">
        <f>IF(A6="","",COUNTIFS('Trade Log'!B:B,A6,'Trade Log'!Q:Q,"WIN"))</f>
        <v/>
      </c>
      <c r="D6" s="40" t="str">
        <f>IF(A6="","",COUNTIFS('Trade Log'!B:B,A6,'Trade Log'!Q:Q,"LOSS"))</f>
        <v/>
      </c>
      <c r="E6" s="41" t="str">
        <f t="shared" si="0"/>
        <v>-</v>
      </c>
      <c r="F6" s="42" t="str">
        <f>IF(A6="","",SUMIF('Trade Log'!B:B,A6,'Trade Log'!N:N))</f>
        <v/>
      </c>
      <c r="G6" s="42" t="str">
        <f>IF(A6="","",SUM($F$3:F6))</f>
        <v/>
      </c>
    </row>
    <row r="7" spans="1:7" ht="15" customHeight="1" x14ac:dyDescent="0.2">
      <c r="A7" s="71"/>
      <c r="B7" s="40" t="str">
        <f>IF(A7="","",COUNTIF('Trade Log'!B:B,A7))</f>
        <v/>
      </c>
      <c r="C7" s="40" t="str">
        <f>IF(A7="","",COUNTIFS('Trade Log'!B:B,A7,'Trade Log'!Q:Q,"WIN"))</f>
        <v/>
      </c>
      <c r="D7" s="40" t="str">
        <f>IF(A7="","",COUNTIFS('Trade Log'!B:B,A7,'Trade Log'!Q:Q,"LOSS"))</f>
        <v/>
      </c>
      <c r="E7" s="41" t="str">
        <f t="shared" si="0"/>
        <v>-</v>
      </c>
      <c r="F7" s="42" t="str">
        <f>IF(A7="","",SUMIF('Trade Log'!B:B,A7,'Trade Log'!N:N))</f>
        <v/>
      </c>
      <c r="G7" s="42" t="str">
        <f>IF(A7="","",SUM($F$3:F7))</f>
        <v/>
      </c>
    </row>
    <row r="8" spans="1:7" ht="15" customHeight="1" x14ac:dyDescent="0.2">
      <c r="A8" s="71"/>
      <c r="B8" s="40" t="str">
        <f>IF(A8="","",COUNTIF('Trade Log'!B:B,A8))</f>
        <v/>
      </c>
      <c r="C8" s="40" t="str">
        <f>IF(A8="","",COUNTIFS('Trade Log'!B:B,A8,'Trade Log'!Q:Q,"WIN"))</f>
        <v/>
      </c>
      <c r="D8" s="40" t="str">
        <f>IF(A8="","",COUNTIFS('Trade Log'!B:B,A8,'Trade Log'!Q:Q,"LOSS"))</f>
        <v/>
      </c>
      <c r="E8" s="41" t="str">
        <f t="shared" si="0"/>
        <v>-</v>
      </c>
      <c r="F8" s="42" t="str">
        <f>IF(A8="","",SUMIF('Trade Log'!B:B,A8,'Trade Log'!N:N))</f>
        <v/>
      </c>
      <c r="G8" s="42" t="str">
        <f>IF(A8="","",SUM($F$3:F8))</f>
        <v/>
      </c>
    </row>
    <row r="9" spans="1:7" ht="15" customHeight="1" x14ac:dyDescent="0.2">
      <c r="A9" s="71"/>
      <c r="B9" s="40" t="str">
        <f>IF(A9="","",COUNTIF('Trade Log'!B:B,A9))</f>
        <v/>
      </c>
      <c r="C9" s="40" t="str">
        <f>IF(A9="","",COUNTIFS('Trade Log'!B:B,A9,'Trade Log'!Q:Q,"WIN"))</f>
        <v/>
      </c>
      <c r="D9" s="40" t="str">
        <f>IF(A9="","",COUNTIFS('Trade Log'!B:B,A9,'Trade Log'!Q:Q,"LOSS"))</f>
        <v/>
      </c>
      <c r="E9" s="41" t="str">
        <f t="shared" si="0"/>
        <v>-</v>
      </c>
      <c r="F9" s="42" t="str">
        <f>IF(A9="","",SUMIF('Trade Log'!B:B,A9,'Trade Log'!N:N))</f>
        <v/>
      </c>
      <c r="G9" s="42" t="str">
        <f>IF(A9="","",SUM($F$3:F9))</f>
        <v/>
      </c>
    </row>
    <row r="10" spans="1:7" ht="15" customHeight="1" x14ac:dyDescent="0.2">
      <c r="A10" s="71"/>
      <c r="B10" s="40" t="str">
        <f>IF(A10="","",COUNTIF('Trade Log'!B:B,A10))</f>
        <v/>
      </c>
      <c r="C10" s="40" t="str">
        <f>IF(A10="","",COUNTIFS('Trade Log'!B:B,A10,'Trade Log'!Q:Q,"WIN"))</f>
        <v/>
      </c>
      <c r="D10" s="40" t="str">
        <f>IF(A10="","",COUNTIFS('Trade Log'!B:B,A10,'Trade Log'!Q:Q,"LOSS"))</f>
        <v/>
      </c>
      <c r="E10" s="41" t="str">
        <f t="shared" si="0"/>
        <v>-</v>
      </c>
      <c r="F10" s="42" t="str">
        <f>IF(A10="","",SUMIF('Trade Log'!B:B,A10,'Trade Log'!N:N))</f>
        <v/>
      </c>
      <c r="G10" s="42" t="str">
        <f>IF(A10="","",SUM($F$3:F10))</f>
        <v/>
      </c>
    </row>
    <row r="11" spans="1:7" ht="15" customHeight="1" x14ac:dyDescent="0.2">
      <c r="A11" s="71"/>
      <c r="B11" s="40" t="str">
        <f>IF(A11="","",COUNTIF('Trade Log'!B:B,A11))</f>
        <v/>
      </c>
      <c r="C11" s="40" t="str">
        <f>IF(A11="","",COUNTIFS('Trade Log'!B:B,A11,'Trade Log'!Q:Q,"WIN"))</f>
        <v/>
      </c>
      <c r="D11" s="40" t="str">
        <f>IF(A11="","",COUNTIFS('Trade Log'!B:B,A11,'Trade Log'!Q:Q,"LOSS"))</f>
        <v/>
      </c>
      <c r="E11" s="41" t="str">
        <f t="shared" si="0"/>
        <v>-</v>
      </c>
      <c r="F11" s="42" t="str">
        <f>IF(A11="","",SUMIF('Trade Log'!B:B,A11,'Trade Log'!N:N))</f>
        <v/>
      </c>
      <c r="G11" s="42" t="str">
        <f>IF(A11="","",SUM($F$3:F11))</f>
        <v/>
      </c>
    </row>
    <row r="12" spans="1:7" ht="15" customHeight="1" x14ac:dyDescent="0.2">
      <c r="A12" s="71"/>
      <c r="B12" s="40" t="str">
        <f>IF(A12="","",COUNTIF('Trade Log'!B:B,A12))</f>
        <v/>
      </c>
      <c r="C12" s="40" t="str">
        <f>IF(A12="","",COUNTIFS('Trade Log'!B:B,A12,'Trade Log'!Q:Q,"WIN"))</f>
        <v/>
      </c>
      <c r="D12" s="40" t="str">
        <f>IF(A12="","",COUNTIFS('Trade Log'!B:B,A12,'Trade Log'!Q:Q,"LOSS"))</f>
        <v/>
      </c>
      <c r="E12" s="41" t="str">
        <f t="shared" si="0"/>
        <v>-</v>
      </c>
      <c r="F12" s="42" t="str">
        <f>IF(A12="","",SUMIF('Trade Log'!B:B,A12,'Trade Log'!N:N))</f>
        <v/>
      </c>
      <c r="G12" s="42" t="str">
        <f>IF(A12="","",SUM($F$3:F12))</f>
        <v/>
      </c>
    </row>
    <row r="13" spans="1:7" ht="15" customHeight="1" x14ac:dyDescent="0.2">
      <c r="A13" s="71"/>
      <c r="B13" s="40" t="str">
        <f>IF(A13="","",COUNTIF('Trade Log'!B:B,A13))</f>
        <v/>
      </c>
      <c r="C13" s="40" t="str">
        <f>IF(A13="","",COUNTIFS('Trade Log'!B:B,A13,'Trade Log'!Q:Q,"WIN"))</f>
        <v/>
      </c>
      <c r="D13" s="40" t="str">
        <f>IF(A13="","",COUNTIFS('Trade Log'!B:B,A13,'Trade Log'!Q:Q,"LOSS"))</f>
        <v/>
      </c>
      <c r="E13" s="41" t="str">
        <f t="shared" si="0"/>
        <v>-</v>
      </c>
      <c r="F13" s="42" t="str">
        <f>IF(A13="","",SUMIF('Trade Log'!B:B,A13,'Trade Log'!N:N))</f>
        <v/>
      </c>
      <c r="G13" s="42" t="str">
        <f>IF(A13="","",SUM($F$3:F13))</f>
        <v/>
      </c>
    </row>
    <row r="14" spans="1:7" ht="15" customHeight="1" x14ac:dyDescent="0.2">
      <c r="A14" s="71"/>
      <c r="B14" s="40" t="str">
        <f>IF(A14="","",COUNTIF('Trade Log'!B:B,A14))</f>
        <v/>
      </c>
      <c r="C14" s="40" t="str">
        <f>IF(A14="","",COUNTIFS('Trade Log'!B:B,A14,'Trade Log'!Q:Q,"WIN"))</f>
        <v/>
      </c>
      <c r="D14" s="40" t="str">
        <f>IF(A14="","",COUNTIFS('Trade Log'!B:B,A14,'Trade Log'!Q:Q,"LOSS"))</f>
        <v/>
      </c>
      <c r="E14" s="41" t="str">
        <f t="shared" si="0"/>
        <v>-</v>
      </c>
      <c r="F14" s="42" t="str">
        <f>IF(A14="","",SUMIF('Trade Log'!B:B,A14,'Trade Log'!N:N))</f>
        <v/>
      </c>
      <c r="G14" s="42" t="str">
        <f>IF(A14="","",SUM($F$3:F14))</f>
        <v/>
      </c>
    </row>
    <row r="15" spans="1:7" ht="15" customHeight="1" x14ac:dyDescent="0.2">
      <c r="A15" s="71"/>
      <c r="B15" s="40" t="str">
        <f>IF(A15="","",COUNTIF('Trade Log'!B:B,A15))</f>
        <v/>
      </c>
      <c r="C15" s="40" t="str">
        <f>IF(A15="","",COUNTIFS('Trade Log'!B:B,A15,'Trade Log'!Q:Q,"WIN"))</f>
        <v/>
      </c>
      <c r="D15" s="40" t="str">
        <f>IF(A15="","",COUNTIFS('Trade Log'!B:B,A15,'Trade Log'!Q:Q,"LOSS"))</f>
        <v/>
      </c>
      <c r="E15" s="41" t="str">
        <f t="shared" si="0"/>
        <v>-</v>
      </c>
      <c r="F15" s="42" t="str">
        <f>IF(A15="","",SUMIF('Trade Log'!B:B,A15,'Trade Log'!N:N))</f>
        <v/>
      </c>
      <c r="G15" s="42" t="str">
        <f>IF(A15="","",SUM($F$3:F15))</f>
        <v/>
      </c>
    </row>
    <row r="16" spans="1:7" ht="15" customHeight="1" x14ac:dyDescent="0.2">
      <c r="A16" s="71"/>
      <c r="B16" s="40" t="str">
        <f>IF(A16="","",COUNTIF('Trade Log'!B:B,A16))</f>
        <v/>
      </c>
      <c r="C16" s="40" t="str">
        <f>IF(A16="","",COUNTIFS('Trade Log'!B:B,A16,'Trade Log'!Q:Q,"WIN"))</f>
        <v/>
      </c>
      <c r="D16" s="40" t="str">
        <f>IF(A16="","",COUNTIFS('Trade Log'!B:B,A16,'Trade Log'!Q:Q,"LOSS"))</f>
        <v/>
      </c>
      <c r="E16" s="41" t="str">
        <f t="shared" si="0"/>
        <v>-</v>
      </c>
      <c r="F16" s="42" t="str">
        <f>IF(A16="","",SUMIF('Trade Log'!B:B,A16,'Trade Log'!N:N))</f>
        <v/>
      </c>
      <c r="G16" s="42" t="str">
        <f>IF(A16="","",SUM($F$3:F16))</f>
        <v/>
      </c>
    </row>
    <row r="17" spans="1:7" ht="15" customHeight="1" x14ac:dyDescent="0.2">
      <c r="A17" s="71"/>
      <c r="B17" s="40" t="str">
        <f>IF(A17="","",COUNTIF('Trade Log'!B:B,A17))</f>
        <v/>
      </c>
      <c r="C17" s="40" t="str">
        <f>IF(A17="","",COUNTIFS('Trade Log'!B:B,A17,'Trade Log'!Q:Q,"WIN"))</f>
        <v/>
      </c>
      <c r="D17" s="40" t="str">
        <f>IF(A17="","",COUNTIFS('Trade Log'!B:B,A17,'Trade Log'!Q:Q,"LOSS"))</f>
        <v/>
      </c>
      <c r="E17" s="41" t="str">
        <f t="shared" si="0"/>
        <v>-</v>
      </c>
      <c r="F17" s="42" t="str">
        <f>IF(A17="","",SUMIF('Trade Log'!B:B,A17,'Trade Log'!N:N))</f>
        <v/>
      </c>
      <c r="G17" s="42" t="str">
        <f>IF(A17="","",SUM($F$3:F17))</f>
        <v/>
      </c>
    </row>
    <row r="18" spans="1:7" ht="15" customHeight="1" x14ac:dyDescent="0.2">
      <c r="A18" s="71"/>
      <c r="B18" s="40" t="str">
        <f>IF(A18="","",COUNTIF('Trade Log'!B:B,A18))</f>
        <v/>
      </c>
      <c r="C18" s="40" t="str">
        <f>IF(A18="","",COUNTIFS('Trade Log'!B:B,A18,'Trade Log'!Q:Q,"WIN"))</f>
        <v/>
      </c>
      <c r="D18" s="40" t="str">
        <f>IF(A18="","",COUNTIFS('Trade Log'!B:B,A18,'Trade Log'!Q:Q,"LOSS"))</f>
        <v/>
      </c>
      <c r="E18" s="41" t="str">
        <f t="shared" si="0"/>
        <v>-</v>
      </c>
      <c r="F18" s="42" t="str">
        <f>IF(A18="","",SUMIF('Trade Log'!B:B,A18,'Trade Log'!N:N))</f>
        <v/>
      </c>
      <c r="G18" s="42" t="str">
        <f>IF(A18="","",SUM($F$3:F18))</f>
        <v/>
      </c>
    </row>
    <row r="19" spans="1:7" ht="15" customHeight="1" x14ac:dyDescent="0.2">
      <c r="A19" s="71"/>
      <c r="B19" s="40" t="str">
        <f>IF(A19="","",COUNTIF('Trade Log'!B:B,A19))</f>
        <v/>
      </c>
      <c r="C19" s="40" t="str">
        <f>IF(A19="","",COUNTIFS('Trade Log'!B:B,A19,'Trade Log'!Q:Q,"WIN"))</f>
        <v/>
      </c>
      <c r="D19" s="40" t="str">
        <f>IF(A19="","",COUNTIFS('Trade Log'!B:B,A19,'Trade Log'!Q:Q,"LOSS"))</f>
        <v/>
      </c>
      <c r="E19" s="41" t="str">
        <f t="shared" si="0"/>
        <v>-</v>
      </c>
      <c r="F19" s="42" t="str">
        <f>IF(A19="","",SUMIF('Trade Log'!B:B,A19,'Trade Log'!N:N))</f>
        <v/>
      </c>
      <c r="G19" s="42" t="str">
        <f>IF(A19="","",SUM($F$3:F19))</f>
        <v/>
      </c>
    </row>
    <row r="20" spans="1:7" ht="15" customHeight="1" x14ac:dyDescent="0.2">
      <c r="A20" s="71"/>
      <c r="B20" s="40" t="str">
        <f>IF(A20="","",COUNTIF('Trade Log'!B:B,A20))</f>
        <v/>
      </c>
      <c r="C20" s="40" t="str">
        <f>IF(A20="","",COUNTIFS('Trade Log'!B:B,A20,'Trade Log'!Q:Q,"WIN"))</f>
        <v/>
      </c>
      <c r="D20" s="40" t="str">
        <f>IF(A20="","",COUNTIFS('Trade Log'!B:B,A20,'Trade Log'!Q:Q,"LOSS"))</f>
        <v/>
      </c>
      <c r="E20" s="41" t="str">
        <f t="shared" si="0"/>
        <v>-</v>
      </c>
      <c r="F20" s="42" t="str">
        <f>IF(A20="","",SUMIF('Trade Log'!B:B,A20,'Trade Log'!N:N))</f>
        <v/>
      </c>
      <c r="G20" s="42" t="str">
        <f>IF(A20="","",SUM($F$3:F20))</f>
        <v/>
      </c>
    </row>
    <row r="21" spans="1:7" ht="15" customHeight="1" x14ac:dyDescent="0.2">
      <c r="A21" s="71"/>
      <c r="B21" s="40" t="str">
        <f>IF(A21="","",COUNTIF('Trade Log'!B:B,A21))</f>
        <v/>
      </c>
      <c r="C21" s="40" t="str">
        <f>IF(A21="","",COUNTIFS('Trade Log'!B:B,A21,'Trade Log'!Q:Q,"WIN"))</f>
        <v/>
      </c>
      <c r="D21" s="40" t="str">
        <f>IF(A21="","",COUNTIFS('Trade Log'!B:B,A21,'Trade Log'!Q:Q,"LOSS"))</f>
        <v/>
      </c>
      <c r="E21" s="41" t="str">
        <f t="shared" si="0"/>
        <v>-</v>
      </c>
      <c r="F21" s="42" t="str">
        <f>IF(A21="","",SUMIF('Trade Log'!B:B,A21,'Trade Log'!N:N))</f>
        <v/>
      </c>
      <c r="G21" s="42" t="str">
        <f>IF(A21="","",SUM($F$3:F21))</f>
        <v/>
      </c>
    </row>
    <row r="22" spans="1:7" ht="15" customHeight="1" x14ac:dyDescent="0.2">
      <c r="A22" s="71"/>
      <c r="B22" s="40" t="str">
        <f>IF(A22="","",COUNTIF('Trade Log'!B:B,A22))</f>
        <v/>
      </c>
      <c r="C22" s="40" t="str">
        <f>IF(A22="","",COUNTIFS('Trade Log'!B:B,A22,'Trade Log'!Q:Q,"WIN"))</f>
        <v/>
      </c>
      <c r="D22" s="40" t="str">
        <f>IF(A22="","",COUNTIFS('Trade Log'!B:B,A22,'Trade Log'!Q:Q,"LOSS"))</f>
        <v/>
      </c>
      <c r="E22" s="41" t="str">
        <f t="shared" si="0"/>
        <v>-</v>
      </c>
      <c r="F22" s="42" t="str">
        <f>IF(A22="","",SUMIF('Trade Log'!B:B,A22,'Trade Log'!N:N))</f>
        <v/>
      </c>
      <c r="G22" s="42" t="str">
        <f>IF(A22="","",SUM($F$3:F22))</f>
        <v/>
      </c>
    </row>
    <row r="23" spans="1:7" ht="15" customHeight="1" x14ac:dyDescent="0.2">
      <c r="A23" s="71"/>
      <c r="B23" s="40" t="str">
        <f>IF(A23="","",COUNTIF('Trade Log'!B:B,A23))</f>
        <v/>
      </c>
      <c r="C23" s="40" t="str">
        <f>IF(A23="","",COUNTIFS('Trade Log'!B:B,A23,'Trade Log'!Q:Q,"WIN"))</f>
        <v/>
      </c>
      <c r="D23" s="40" t="str">
        <f>IF(A23="","",COUNTIFS('Trade Log'!B:B,A23,'Trade Log'!Q:Q,"LOSS"))</f>
        <v/>
      </c>
      <c r="E23" s="41" t="str">
        <f t="shared" si="0"/>
        <v>-</v>
      </c>
      <c r="F23" s="42" t="str">
        <f>IF(A23="","",SUMIF('Trade Log'!B:B,A23,'Trade Log'!N:N))</f>
        <v/>
      </c>
      <c r="G23" s="42" t="str">
        <f>IF(A23="","",SUM($F$3:F23))</f>
        <v/>
      </c>
    </row>
    <row r="24" spans="1:7" ht="15" customHeight="1" x14ac:dyDescent="0.2">
      <c r="A24" s="71"/>
      <c r="B24" s="40" t="str">
        <f>IF(A24="","",COUNTIF('Trade Log'!B:B,A24))</f>
        <v/>
      </c>
      <c r="C24" s="40" t="str">
        <f>IF(A24="","",COUNTIFS('Trade Log'!B:B,A24,'Trade Log'!Q:Q,"WIN"))</f>
        <v/>
      </c>
      <c r="D24" s="40" t="str">
        <f>IF(A24="","",COUNTIFS('Trade Log'!B:B,A24,'Trade Log'!Q:Q,"LOSS"))</f>
        <v/>
      </c>
      <c r="E24" s="41" t="str">
        <f t="shared" si="0"/>
        <v>-</v>
      </c>
      <c r="F24" s="42" t="str">
        <f>IF(A24="","",SUMIF('Trade Log'!B:B,A24,'Trade Log'!N:N))</f>
        <v/>
      </c>
      <c r="G24" s="42" t="str">
        <f>IF(A24="","",SUM($F$3:F24))</f>
        <v/>
      </c>
    </row>
    <row r="25" spans="1:7" ht="15" customHeight="1" x14ac:dyDescent="0.2">
      <c r="A25" s="71"/>
      <c r="B25" s="40" t="str">
        <f>IF(A25="","",COUNTIF('Trade Log'!B:B,A25))</f>
        <v/>
      </c>
      <c r="C25" s="40" t="str">
        <f>IF(A25="","",COUNTIFS('Trade Log'!B:B,A25,'Trade Log'!Q:Q,"WIN"))</f>
        <v/>
      </c>
      <c r="D25" s="40" t="str">
        <f>IF(A25="","",COUNTIFS('Trade Log'!B:B,A25,'Trade Log'!Q:Q,"LOSS"))</f>
        <v/>
      </c>
      <c r="E25" s="41" t="str">
        <f t="shared" si="0"/>
        <v>-</v>
      </c>
      <c r="F25" s="42" t="str">
        <f>IF(A25="","",SUMIF('Trade Log'!B:B,A25,'Trade Log'!N:N))</f>
        <v/>
      </c>
      <c r="G25" s="42" t="str">
        <f>IF(A25="","",SUM($F$3:F25))</f>
        <v/>
      </c>
    </row>
    <row r="26" spans="1:7" ht="15" customHeight="1" x14ac:dyDescent="0.2">
      <c r="A26" s="71"/>
      <c r="B26" s="40" t="str">
        <f>IF(A26="","",COUNTIF('Trade Log'!B:B,A26))</f>
        <v/>
      </c>
      <c r="C26" s="40" t="str">
        <f>IF(A26="","",COUNTIFS('Trade Log'!B:B,A26,'Trade Log'!Q:Q,"WIN"))</f>
        <v/>
      </c>
      <c r="D26" s="40" t="str">
        <f>IF(A26="","",COUNTIFS('Trade Log'!B:B,A26,'Trade Log'!Q:Q,"LOSS"))</f>
        <v/>
      </c>
      <c r="E26" s="41" t="str">
        <f t="shared" si="0"/>
        <v>-</v>
      </c>
      <c r="F26" s="42" t="str">
        <f>IF(A26="","",SUMIF('Trade Log'!B:B,A26,'Trade Log'!N:N))</f>
        <v/>
      </c>
      <c r="G26" s="42" t="str">
        <f>IF(A26="","",SUM($F$3:F26))</f>
        <v/>
      </c>
    </row>
    <row r="27" spans="1:7" ht="15" customHeight="1" x14ac:dyDescent="0.2">
      <c r="A27" s="71"/>
      <c r="B27" s="40" t="str">
        <f>IF(A27="","",COUNTIF('Trade Log'!B:B,A27))</f>
        <v/>
      </c>
      <c r="C27" s="40" t="str">
        <f>IF(A27="","",COUNTIFS('Trade Log'!B:B,A27,'Trade Log'!Q:Q,"WIN"))</f>
        <v/>
      </c>
      <c r="D27" s="40" t="str">
        <f>IF(A27="","",COUNTIFS('Trade Log'!B:B,A27,'Trade Log'!Q:Q,"LOSS"))</f>
        <v/>
      </c>
      <c r="E27" s="41" t="str">
        <f t="shared" si="0"/>
        <v>-</v>
      </c>
      <c r="F27" s="42" t="str">
        <f>IF(A27="","",SUMIF('Trade Log'!B:B,A27,'Trade Log'!N:N))</f>
        <v/>
      </c>
      <c r="G27" s="42" t="str">
        <f>IF(A27="","",SUM($F$3:F27))</f>
        <v/>
      </c>
    </row>
    <row r="28" spans="1:7" ht="15" customHeight="1" x14ac:dyDescent="0.2">
      <c r="A28" s="71"/>
      <c r="B28" s="40" t="str">
        <f>IF(A28="","",COUNTIF('Trade Log'!B:B,A28))</f>
        <v/>
      </c>
      <c r="C28" s="40" t="str">
        <f>IF(A28="","",COUNTIFS('Trade Log'!B:B,A28,'Trade Log'!Q:Q,"WIN"))</f>
        <v/>
      </c>
      <c r="D28" s="40" t="str">
        <f>IF(A28="","",COUNTIFS('Trade Log'!B:B,A28,'Trade Log'!Q:Q,"LOSS"))</f>
        <v/>
      </c>
      <c r="E28" s="41" t="str">
        <f t="shared" si="0"/>
        <v>-</v>
      </c>
      <c r="F28" s="42" t="str">
        <f>IF(A28="","",SUMIF('Trade Log'!B:B,A28,'Trade Log'!N:N))</f>
        <v/>
      </c>
      <c r="G28" s="42" t="str">
        <f>IF(A28="","",SUM($F$3:F28))</f>
        <v/>
      </c>
    </row>
    <row r="29" spans="1:7" ht="15" customHeight="1" x14ac:dyDescent="0.2">
      <c r="A29" s="71"/>
      <c r="B29" s="40" t="str">
        <f>IF(A29="","",COUNTIF('Trade Log'!B:B,A29))</f>
        <v/>
      </c>
      <c r="C29" s="40" t="str">
        <f>IF(A29="","",COUNTIFS('Trade Log'!B:B,A29,'Trade Log'!Q:Q,"WIN"))</f>
        <v/>
      </c>
      <c r="D29" s="40" t="str">
        <f>IF(A29="","",COUNTIFS('Trade Log'!B:B,A29,'Trade Log'!Q:Q,"LOSS"))</f>
        <v/>
      </c>
      <c r="E29" s="41" t="str">
        <f t="shared" si="0"/>
        <v>-</v>
      </c>
      <c r="F29" s="42" t="str">
        <f>IF(A29="","",SUMIF('Trade Log'!B:B,A29,'Trade Log'!N:N))</f>
        <v/>
      </c>
      <c r="G29" s="42" t="str">
        <f>IF(A29="","",SUM($F$3:F29))</f>
        <v/>
      </c>
    </row>
    <row r="30" spans="1:7" ht="15" customHeight="1" x14ac:dyDescent="0.2">
      <c r="A30" s="71"/>
      <c r="B30" s="40" t="str">
        <f>IF(A30="","",COUNTIF('Trade Log'!B:B,A30))</f>
        <v/>
      </c>
      <c r="C30" s="40" t="str">
        <f>IF(A30="","",COUNTIFS('Trade Log'!B:B,A30,'Trade Log'!Q:Q,"WIN"))</f>
        <v/>
      </c>
      <c r="D30" s="40" t="str">
        <f>IF(A30="","",COUNTIFS('Trade Log'!B:B,A30,'Trade Log'!Q:Q,"LOSS"))</f>
        <v/>
      </c>
      <c r="E30" s="41" t="str">
        <f t="shared" si="0"/>
        <v>-</v>
      </c>
      <c r="F30" s="42" t="str">
        <f>IF(A30="","",SUMIF('Trade Log'!B:B,A30,'Trade Log'!N:N))</f>
        <v/>
      </c>
      <c r="G30" s="42" t="str">
        <f>IF(A30="","",SUM($F$3:F30))</f>
        <v/>
      </c>
    </row>
    <row r="31" spans="1:7" ht="15" customHeight="1" x14ac:dyDescent="0.2">
      <c r="A31" s="71"/>
      <c r="B31" s="40" t="str">
        <f>IF(A31="","",COUNTIF('Trade Log'!B:B,A31))</f>
        <v/>
      </c>
      <c r="C31" s="40" t="str">
        <f>IF(A31="","",COUNTIFS('Trade Log'!B:B,A31,'Trade Log'!Q:Q,"WIN"))</f>
        <v/>
      </c>
      <c r="D31" s="40" t="str">
        <f>IF(A31="","",COUNTIFS('Trade Log'!B:B,A31,'Trade Log'!Q:Q,"LOSS"))</f>
        <v/>
      </c>
      <c r="E31" s="41" t="str">
        <f t="shared" si="0"/>
        <v>-</v>
      </c>
      <c r="F31" s="42" t="str">
        <f>IF(A31="","",SUMIF('Trade Log'!B:B,A31,'Trade Log'!N:N))</f>
        <v/>
      </c>
      <c r="G31" s="42" t="str">
        <f>IF(A31="","",SUM($F$3:F31))</f>
        <v/>
      </c>
    </row>
    <row r="32" spans="1:7" ht="15" customHeight="1" x14ac:dyDescent="0.2">
      <c r="A32" s="71"/>
      <c r="B32" s="40" t="str">
        <f>IF(A32="","",COUNTIF('Trade Log'!B:B,A32))</f>
        <v/>
      </c>
      <c r="C32" s="40" t="str">
        <f>IF(A32="","",COUNTIFS('Trade Log'!B:B,A32,'Trade Log'!Q:Q,"WIN"))</f>
        <v/>
      </c>
      <c r="D32" s="40" t="str">
        <f>IF(A32="","",COUNTIFS('Trade Log'!B:B,A32,'Trade Log'!Q:Q,"LOSS"))</f>
        <v/>
      </c>
      <c r="E32" s="41" t="str">
        <f t="shared" si="0"/>
        <v>-</v>
      </c>
      <c r="F32" s="42" t="str">
        <f>IF(A32="","",SUMIF('Trade Log'!B:B,A32,'Trade Log'!N:N))</f>
        <v/>
      </c>
      <c r="G32" s="42" t="str">
        <f>IF(A32="","",SUM($F$3:F32))</f>
        <v/>
      </c>
    </row>
    <row r="33" spans="1:7" ht="15" customHeight="1" x14ac:dyDescent="0.2">
      <c r="A33" s="71"/>
      <c r="B33" s="40" t="str">
        <f>IF(A33="","",COUNTIF('Trade Log'!B:B,A33))</f>
        <v/>
      </c>
      <c r="C33" s="40" t="str">
        <f>IF(A33="","",COUNTIFS('Trade Log'!B:B,A33,'Trade Log'!Q:Q,"WIN"))</f>
        <v/>
      </c>
      <c r="D33" s="40" t="str">
        <f>IF(A33="","",COUNTIFS('Trade Log'!B:B,A33,'Trade Log'!Q:Q,"LOSS"))</f>
        <v/>
      </c>
      <c r="E33" s="41" t="str">
        <f t="shared" si="0"/>
        <v>-</v>
      </c>
      <c r="F33" s="42" t="str">
        <f>IF(A33="","",SUMIF('Trade Log'!B:B,A33,'Trade Log'!N:N))</f>
        <v/>
      </c>
      <c r="G33" s="42" t="str">
        <f>IF(A33="","",SUM($F$3:F33))</f>
        <v/>
      </c>
    </row>
    <row r="34" spans="1:7" ht="15" customHeight="1" x14ac:dyDescent="0.2">
      <c r="A34" s="71"/>
      <c r="B34" s="40" t="str">
        <f>IF(A34="","",COUNTIF('Trade Log'!B:B,A34))</f>
        <v/>
      </c>
      <c r="C34" s="40" t="str">
        <f>IF(A34="","",COUNTIFS('Trade Log'!B:B,A34,'Trade Log'!Q:Q,"WIN"))</f>
        <v/>
      </c>
      <c r="D34" s="40" t="str">
        <f>IF(A34="","",COUNTIFS('Trade Log'!B:B,A34,'Trade Log'!Q:Q,"LOSS"))</f>
        <v/>
      </c>
      <c r="E34" s="41" t="str">
        <f t="shared" si="0"/>
        <v>-</v>
      </c>
      <c r="F34" s="42" t="str">
        <f>IF(A34="","",SUMIF('Trade Log'!B:B,A34,'Trade Log'!N:N))</f>
        <v/>
      </c>
      <c r="G34" s="42" t="str">
        <f>IF(A34="","",SUM($F$3:F34))</f>
        <v/>
      </c>
    </row>
    <row r="35" spans="1:7" ht="15" customHeight="1" x14ac:dyDescent="0.2">
      <c r="A35" s="71"/>
      <c r="B35" s="40" t="str">
        <f>IF(A35="","",COUNTIF('Trade Log'!B:B,A35))</f>
        <v/>
      </c>
      <c r="C35" s="40" t="str">
        <f>IF(A35="","",COUNTIFS('Trade Log'!B:B,A35,'Trade Log'!Q:Q,"WIN"))</f>
        <v/>
      </c>
      <c r="D35" s="40" t="str">
        <f>IF(A35="","",COUNTIFS('Trade Log'!B:B,A35,'Trade Log'!Q:Q,"LOSS"))</f>
        <v/>
      </c>
      <c r="E35" s="41" t="str">
        <f t="shared" si="0"/>
        <v>-</v>
      </c>
      <c r="F35" s="42" t="str">
        <f>IF(A35="","",SUMIF('Trade Log'!B:B,A35,'Trade Log'!N:N))</f>
        <v/>
      </c>
      <c r="G35" s="42" t="str">
        <f>IF(A35="","",SUM($F$3:F35))</f>
        <v/>
      </c>
    </row>
    <row r="36" spans="1:7" ht="15" customHeight="1" x14ac:dyDescent="0.2">
      <c r="A36" s="71"/>
      <c r="B36" s="40" t="str">
        <f>IF(A36="","",COUNTIF('Trade Log'!B:B,A36))</f>
        <v/>
      </c>
      <c r="C36" s="40" t="str">
        <f>IF(A36="","",COUNTIFS('Trade Log'!B:B,A36,'Trade Log'!Q:Q,"WIN"))</f>
        <v/>
      </c>
      <c r="D36" s="40" t="str">
        <f>IF(A36="","",COUNTIFS('Trade Log'!B:B,A36,'Trade Log'!Q:Q,"LOSS"))</f>
        <v/>
      </c>
      <c r="E36" s="41" t="str">
        <f t="shared" si="0"/>
        <v>-</v>
      </c>
      <c r="F36" s="42" t="str">
        <f>IF(A36="","",SUMIF('Trade Log'!B:B,A36,'Trade Log'!N:N))</f>
        <v/>
      </c>
      <c r="G36" s="42" t="str">
        <f>IF(A36="","",SUM($F$3:F36))</f>
        <v/>
      </c>
    </row>
    <row r="37" spans="1:7" ht="15" customHeight="1" x14ac:dyDescent="0.2">
      <c r="A37" s="71"/>
      <c r="B37" s="40" t="str">
        <f>IF(A37="","",COUNTIF('Trade Log'!B:B,A37))</f>
        <v/>
      </c>
      <c r="C37" s="40" t="str">
        <f>IF(A37="","",COUNTIFS('Trade Log'!B:B,A37,'Trade Log'!Q:Q,"WIN"))</f>
        <v/>
      </c>
      <c r="D37" s="40" t="str">
        <f>IF(A37="","",COUNTIFS('Trade Log'!B:B,A37,'Trade Log'!Q:Q,"LOSS"))</f>
        <v/>
      </c>
      <c r="E37" s="41" t="str">
        <f t="shared" si="0"/>
        <v>-</v>
      </c>
      <c r="F37" s="42" t="str">
        <f>IF(A37="","",SUMIF('Trade Log'!B:B,A37,'Trade Log'!N:N))</f>
        <v/>
      </c>
      <c r="G37" s="42" t="str">
        <f>IF(A37="","",SUM($F$3:F37))</f>
        <v/>
      </c>
    </row>
    <row r="38" spans="1:7" ht="15" customHeight="1" x14ac:dyDescent="0.2">
      <c r="A38" s="71"/>
      <c r="B38" s="40" t="str">
        <f>IF(A38="","",COUNTIF('Trade Log'!B:B,A38))</f>
        <v/>
      </c>
      <c r="C38" s="40" t="str">
        <f>IF(A38="","",COUNTIFS('Trade Log'!B:B,A38,'Trade Log'!Q:Q,"WIN"))</f>
        <v/>
      </c>
      <c r="D38" s="40" t="str">
        <f>IF(A38="","",COUNTIFS('Trade Log'!B:B,A38,'Trade Log'!Q:Q,"LOSS"))</f>
        <v/>
      </c>
      <c r="E38" s="41" t="str">
        <f t="shared" si="0"/>
        <v>-</v>
      </c>
      <c r="F38" s="42" t="str">
        <f>IF(A38="","",SUMIF('Trade Log'!B:B,A38,'Trade Log'!N:N))</f>
        <v/>
      </c>
      <c r="G38" s="42" t="str">
        <f>IF(A38="","",SUM($F$3:F38))</f>
        <v/>
      </c>
    </row>
    <row r="39" spans="1:7" ht="15" customHeight="1" x14ac:dyDescent="0.2">
      <c r="A39" s="71"/>
      <c r="B39" s="40" t="str">
        <f>IF(A39="","",COUNTIF('Trade Log'!B:B,A39))</f>
        <v/>
      </c>
      <c r="C39" s="40" t="str">
        <f>IF(A39="","",COUNTIFS('Trade Log'!B:B,A39,'Trade Log'!Q:Q,"WIN"))</f>
        <v/>
      </c>
      <c r="D39" s="40" t="str">
        <f>IF(A39="","",COUNTIFS('Trade Log'!B:B,A39,'Trade Log'!Q:Q,"LOSS"))</f>
        <v/>
      </c>
      <c r="E39" s="41" t="str">
        <f t="shared" si="0"/>
        <v>-</v>
      </c>
      <c r="F39" s="42" t="str">
        <f>IF(A39="","",SUMIF('Trade Log'!B:B,A39,'Trade Log'!N:N))</f>
        <v/>
      </c>
      <c r="G39" s="42" t="str">
        <f>IF(A39="","",SUM($F$3:F39))</f>
        <v/>
      </c>
    </row>
    <row r="40" spans="1:7" ht="15" customHeight="1" x14ac:dyDescent="0.2">
      <c r="A40" s="71"/>
      <c r="B40" s="40" t="str">
        <f>IF(A40="","",COUNTIF('Trade Log'!B:B,A40))</f>
        <v/>
      </c>
      <c r="C40" s="40" t="str">
        <f>IF(A40="","",COUNTIFS('Trade Log'!B:B,A40,'Trade Log'!Q:Q,"WIN"))</f>
        <v/>
      </c>
      <c r="D40" s="40" t="str">
        <f>IF(A40="","",COUNTIFS('Trade Log'!B:B,A40,'Trade Log'!Q:Q,"LOSS"))</f>
        <v/>
      </c>
      <c r="E40" s="41" t="str">
        <f t="shared" si="0"/>
        <v>-</v>
      </c>
      <c r="F40" s="42" t="str">
        <f>IF(A40="","",SUMIF('Trade Log'!B:B,A40,'Trade Log'!N:N))</f>
        <v/>
      </c>
      <c r="G40" s="42" t="str">
        <f>IF(A40="","",SUM($F$3:F40))</f>
        <v/>
      </c>
    </row>
    <row r="41" spans="1:7" ht="15" customHeight="1" x14ac:dyDescent="0.2">
      <c r="A41" s="71"/>
      <c r="B41" s="40" t="str">
        <f>IF(A41="","",COUNTIF('Trade Log'!B:B,A41))</f>
        <v/>
      </c>
      <c r="C41" s="40" t="str">
        <f>IF(A41="","",COUNTIFS('Trade Log'!B:B,A41,'Trade Log'!Q:Q,"WIN"))</f>
        <v/>
      </c>
      <c r="D41" s="40" t="str">
        <f>IF(A41="","",COUNTIFS('Trade Log'!B:B,A41,'Trade Log'!Q:Q,"LOSS"))</f>
        <v/>
      </c>
      <c r="E41" s="41" t="str">
        <f t="shared" si="0"/>
        <v>-</v>
      </c>
      <c r="F41" s="42" t="str">
        <f>IF(A41="","",SUMIF('Trade Log'!B:B,A41,'Trade Log'!N:N))</f>
        <v/>
      </c>
      <c r="G41" s="42" t="str">
        <f>IF(A41="","",SUM($F$3:F41))</f>
        <v/>
      </c>
    </row>
    <row r="42" spans="1:7" ht="15" customHeight="1" x14ac:dyDescent="0.2">
      <c r="A42" s="71"/>
      <c r="B42" s="40" t="str">
        <f>IF(A42="","",COUNTIF('Trade Log'!B:B,A42))</f>
        <v/>
      </c>
      <c r="C42" s="40" t="str">
        <f>IF(A42="","",COUNTIFS('Trade Log'!B:B,A42,'Trade Log'!Q:Q,"WIN"))</f>
        <v/>
      </c>
      <c r="D42" s="40" t="str">
        <f>IF(A42="","",COUNTIFS('Trade Log'!B:B,A42,'Trade Log'!Q:Q,"LOSS"))</f>
        <v/>
      </c>
      <c r="E42" s="41" t="str">
        <f t="shared" si="0"/>
        <v>-</v>
      </c>
      <c r="F42" s="42" t="str">
        <f>IF(A42="","",SUMIF('Trade Log'!B:B,A42,'Trade Log'!N:N))</f>
        <v/>
      </c>
      <c r="G42" s="42" t="str">
        <f>IF(A42="","",SUM($F$3:F42))</f>
        <v/>
      </c>
    </row>
    <row r="43" spans="1:7" ht="15" customHeight="1" x14ac:dyDescent="0.2">
      <c r="A43" s="71"/>
      <c r="B43" s="40" t="str">
        <f>IF(A43="","",COUNTIF('Trade Log'!B:B,A43))</f>
        <v/>
      </c>
      <c r="C43" s="40" t="str">
        <f>IF(A43="","",COUNTIFS('Trade Log'!B:B,A43,'Trade Log'!Q:Q,"WIN"))</f>
        <v/>
      </c>
      <c r="D43" s="40" t="str">
        <f>IF(A43="","",COUNTIFS('Trade Log'!B:B,A43,'Trade Log'!Q:Q,"LOSS"))</f>
        <v/>
      </c>
      <c r="E43" s="41" t="str">
        <f t="shared" si="0"/>
        <v>-</v>
      </c>
      <c r="F43" s="42" t="str">
        <f>IF(A43="","",SUMIF('Trade Log'!B:B,A43,'Trade Log'!N:N))</f>
        <v/>
      </c>
      <c r="G43" s="42" t="str">
        <f>IF(A43="","",SUM($F$3:F43))</f>
        <v/>
      </c>
    </row>
    <row r="44" spans="1:7" ht="15" customHeight="1" x14ac:dyDescent="0.2">
      <c r="A44" s="71"/>
      <c r="B44" s="40" t="str">
        <f>IF(A44="","",COUNTIF('Trade Log'!B:B,A44))</f>
        <v/>
      </c>
      <c r="C44" s="40" t="str">
        <f>IF(A44="","",COUNTIFS('Trade Log'!B:B,A44,'Trade Log'!Q:Q,"WIN"))</f>
        <v/>
      </c>
      <c r="D44" s="40" t="str">
        <f>IF(A44="","",COUNTIFS('Trade Log'!B:B,A44,'Trade Log'!Q:Q,"LOSS"))</f>
        <v/>
      </c>
      <c r="E44" s="41" t="str">
        <f t="shared" si="0"/>
        <v>-</v>
      </c>
      <c r="F44" s="42" t="str">
        <f>IF(A44="","",SUMIF('Trade Log'!B:B,A44,'Trade Log'!N:N))</f>
        <v/>
      </c>
      <c r="G44" s="42" t="str">
        <f>IF(A44="","",SUM($F$3:F44))</f>
        <v/>
      </c>
    </row>
    <row r="45" spans="1:7" ht="15" customHeight="1" x14ac:dyDescent="0.2">
      <c r="A45" s="71"/>
      <c r="B45" s="40" t="str">
        <f>IF(A45="","",COUNTIF('Trade Log'!B:B,A45))</f>
        <v/>
      </c>
      <c r="C45" s="40" t="str">
        <f>IF(A45="","",COUNTIFS('Trade Log'!B:B,A45,'Trade Log'!Q:Q,"WIN"))</f>
        <v/>
      </c>
      <c r="D45" s="40" t="str">
        <f>IF(A45="","",COUNTIFS('Trade Log'!B:B,A45,'Trade Log'!Q:Q,"LOSS"))</f>
        <v/>
      </c>
      <c r="E45" s="41" t="str">
        <f t="shared" si="0"/>
        <v>-</v>
      </c>
      <c r="F45" s="42" t="str">
        <f>IF(A45="","",SUMIF('Trade Log'!B:B,A45,'Trade Log'!N:N))</f>
        <v/>
      </c>
      <c r="G45" s="42" t="str">
        <f>IF(A45="","",SUM($F$3:F45))</f>
        <v/>
      </c>
    </row>
    <row r="46" spans="1:7" ht="15" customHeight="1" x14ac:dyDescent="0.2">
      <c r="A46" s="71"/>
      <c r="B46" s="40" t="str">
        <f>IF(A46="","",COUNTIF('Trade Log'!B:B,A46))</f>
        <v/>
      </c>
      <c r="C46" s="40" t="str">
        <f>IF(A46="","",COUNTIFS('Trade Log'!B:B,A46,'Trade Log'!Q:Q,"WIN"))</f>
        <v/>
      </c>
      <c r="D46" s="40" t="str">
        <f>IF(A46="","",COUNTIFS('Trade Log'!B:B,A46,'Trade Log'!Q:Q,"LOSS"))</f>
        <v/>
      </c>
      <c r="E46" s="41" t="str">
        <f t="shared" si="0"/>
        <v>-</v>
      </c>
      <c r="F46" s="42" t="str">
        <f>IF(A46="","",SUMIF('Trade Log'!B:B,A46,'Trade Log'!N:N))</f>
        <v/>
      </c>
      <c r="G46" s="42" t="str">
        <f>IF(A46="","",SUM($F$3:F46))</f>
        <v/>
      </c>
    </row>
    <row r="47" spans="1:7" ht="15" customHeight="1" x14ac:dyDescent="0.2">
      <c r="A47" s="71"/>
      <c r="B47" s="40" t="str">
        <f>IF(A47="","",COUNTIF('Trade Log'!B:B,A47))</f>
        <v/>
      </c>
      <c r="C47" s="40" t="str">
        <f>IF(A47="","",COUNTIFS('Trade Log'!B:B,A47,'Trade Log'!Q:Q,"WIN"))</f>
        <v/>
      </c>
      <c r="D47" s="40" t="str">
        <f>IF(A47="","",COUNTIFS('Trade Log'!B:B,A47,'Trade Log'!Q:Q,"LOSS"))</f>
        <v/>
      </c>
      <c r="E47" s="41" t="str">
        <f t="shared" si="0"/>
        <v>-</v>
      </c>
      <c r="F47" s="42" t="str">
        <f>IF(A47="","",SUMIF('Trade Log'!B:B,A47,'Trade Log'!N:N))</f>
        <v/>
      </c>
      <c r="G47" s="42" t="str">
        <f>IF(A47="","",SUM($F$3:F47))</f>
        <v/>
      </c>
    </row>
    <row r="48" spans="1:7" ht="15" customHeight="1" x14ac:dyDescent="0.2">
      <c r="A48" s="71"/>
      <c r="B48" s="40" t="str">
        <f>IF(A48="","",COUNTIF('Trade Log'!B:B,A48))</f>
        <v/>
      </c>
      <c r="C48" s="40" t="str">
        <f>IF(A48="","",COUNTIFS('Trade Log'!B:B,A48,'Trade Log'!Q:Q,"WIN"))</f>
        <v/>
      </c>
      <c r="D48" s="40" t="str">
        <f>IF(A48="","",COUNTIFS('Trade Log'!B:B,A48,'Trade Log'!Q:Q,"LOSS"))</f>
        <v/>
      </c>
      <c r="E48" s="41" t="str">
        <f t="shared" si="0"/>
        <v>-</v>
      </c>
      <c r="F48" s="42" t="str">
        <f>IF(A48="","",SUMIF('Trade Log'!B:B,A48,'Trade Log'!N:N))</f>
        <v/>
      </c>
      <c r="G48" s="42" t="str">
        <f>IF(A48="","",SUM($F$3:F48))</f>
        <v/>
      </c>
    </row>
    <row r="49" spans="1:7" ht="15" customHeight="1" x14ac:dyDescent="0.2">
      <c r="A49" s="71"/>
      <c r="B49" s="40" t="str">
        <f>IF(A49="","",COUNTIF('Trade Log'!B:B,A49))</f>
        <v/>
      </c>
      <c r="C49" s="40" t="str">
        <f>IF(A49="","",COUNTIFS('Trade Log'!B:B,A49,'Trade Log'!Q:Q,"WIN"))</f>
        <v/>
      </c>
      <c r="D49" s="40" t="str">
        <f>IF(A49="","",COUNTIFS('Trade Log'!B:B,A49,'Trade Log'!Q:Q,"LOSS"))</f>
        <v/>
      </c>
      <c r="E49" s="41" t="str">
        <f t="shared" si="0"/>
        <v>-</v>
      </c>
      <c r="F49" s="42" t="str">
        <f>IF(A49="","",SUMIF('Trade Log'!B:B,A49,'Trade Log'!N:N))</f>
        <v/>
      </c>
      <c r="G49" s="42" t="str">
        <f>IF(A49="","",SUM($F$3:F49))</f>
        <v/>
      </c>
    </row>
    <row r="50" spans="1:7" ht="15" customHeight="1" x14ac:dyDescent="0.2">
      <c r="A50" s="71"/>
      <c r="B50" s="40" t="str">
        <f>IF(A50="","",COUNTIF('Trade Log'!B:B,A50))</f>
        <v/>
      </c>
      <c r="C50" s="40" t="str">
        <f>IF(A50="","",COUNTIFS('Trade Log'!B:B,A50,'Trade Log'!Q:Q,"WIN"))</f>
        <v/>
      </c>
      <c r="D50" s="40" t="str">
        <f>IF(A50="","",COUNTIFS('Trade Log'!B:B,A50,'Trade Log'!Q:Q,"LOSS"))</f>
        <v/>
      </c>
      <c r="E50" s="41" t="str">
        <f t="shared" si="0"/>
        <v>-</v>
      </c>
      <c r="F50" s="42" t="str">
        <f>IF(A50="","",SUMIF('Trade Log'!B:B,A50,'Trade Log'!N:N))</f>
        <v/>
      </c>
      <c r="G50" s="42" t="str">
        <f>IF(A50="","",SUM($F$3:F50))</f>
        <v/>
      </c>
    </row>
    <row r="51" spans="1:7" ht="15" customHeight="1" x14ac:dyDescent="0.2">
      <c r="A51" s="71"/>
      <c r="B51" s="40" t="str">
        <f>IF(A51="","",COUNTIF('Trade Log'!B:B,A51))</f>
        <v/>
      </c>
      <c r="C51" s="40" t="str">
        <f>IF(A51="","",COUNTIFS('Trade Log'!B:B,A51,'Trade Log'!Q:Q,"WIN"))</f>
        <v/>
      </c>
      <c r="D51" s="40" t="str">
        <f>IF(A51="","",COUNTIFS('Trade Log'!B:B,A51,'Trade Log'!Q:Q,"LOSS"))</f>
        <v/>
      </c>
      <c r="E51" s="41" t="str">
        <f t="shared" si="0"/>
        <v>-</v>
      </c>
      <c r="F51" s="42" t="str">
        <f>IF(A51="","",SUMIF('Trade Log'!B:B,A51,'Trade Log'!N:N))</f>
        <v/>
      </c>
      <c r="G51" s="42" t="str">
        <f>IF(A51="","",SUM($F$3:F51))</f>
        <v/>
      </c>
    </row>
    <row r="52" spans="1:7" ht="15" customHeight="1" x14ac:dyDescent="0.2">
      <c r="A52" s="71"/>
      <c r="B52" s="40" t="str">
        <f>IF(A52="","",COUNTIF('Trade Log'!B:B,A52))</f>
        <v/>
      </c>
      <c r="C52" s="40" t="str">
        <f>IF(A52="","",COUNTIFS('Trade Log'!B:B,A52,'Trade Log'!Q:Q,"WIN"))</f>
        <v/>
      </c>
      <c r="D52" s="40" t="str">
        <f>IF(A52="","",COUNTIFS('Trade Log'!B:B,A52,'Trade Log'!Q:Q,"LOSS"))</f>
        <v/>
      </c>
      <c r="E52" s="41" t="str">
        <f t="shared" si="0"/>
        <v>-</v>
      </c>
      <c r="F52" s="42" t="str">
        <f>IF(A52="","",SUMIF('Trade Log'!B:B,A52,'Trade Log'!N:N))</f>
        <v/>
      </c>
      <c r="G52" s="42" t="str">
        <f>IF(A52="","",SUM($F$3:F52))</f>
        <v/>
      </c>
    </row>
    <row r="53" spans="1:7" ht="15" customHeight="1" x14ac:dyDescent="0.2">
      <c r="A53" s="71"/>
      <c r="B53" s="40" t="str">
        <f>IF(A53="","",COUNTIF('Trade Log'!B:B,A53))</f>
        <v/>
      </c>
      <c r="C53" s="40" t="str">
        <f>IF(A53="","",COUNTIFS('Trade Log'!B:B,A53,'Trade Log'!Q:Q,"WIN"))</f>
        <v/>
      </c>
      <c r="D53" s="40" t="str">
        <f>IF(A53="","",COUNTIFS('Trade Log'!B:B,A53,'Trade Log'!Q:Q,"LOSS"))</f>
        <v/>
      </c>
      <c r="E53" s="41" t="str">
        <f t="shared" si="0"/>
        <v>-</v>
      </c>
      <c r="F53" s="42" t="str">
        <f>IF(A53="","",SUMIF('Trade Log'!B:B,A53,'Trade Log'!N:N))</f>
        <v/>
      </c>
      <c r="G53" s="42" t="str">
        <f>IF(A53="","",SUM($F$3:F53))</f>
        <v/>
      </c>
    </row>
    <row r="54" spans="1:7" ht="15" customHeight="1" x14ac:dyDescent="0.2">
      <c r="A54" s="71"/>
      <c r="B54" s="40" t="str">
        <f>IF(A54="","",COUNTIF('Trade Log'!B:B,A54))</f>
        <v/>
      </c>
      <c r="C54" s="40" t="str">
        <f>IF(A54="","",COUNTIFS('Trade Log'!B:B,A54,'Trade Log'!Q:Q,"WIN"))</f>
        <v/>
      </c>
      <c r="D54" s="40" t="str">
        <f>IF(A54="","",COUNTIFS('Trade Log'!B:B,A54,'Trade Log'!Q:Q,"LOSS"))</f>
        <v/>
      </c>
      <c r="E54" s="41" t="str">
        <f t="shared" si="0"/>
        <v>-</v>
      </c>
      <c r="F54" s="42" t="str">
        <f>IF(A54="","",SUMIF('Trade Log'!B:B,A54,'Trade Log'!N:N))</f>
        <v/>
      </c>
      <c r="G54" s="42" t="str">
        <f>IF(A54="","",SUM($F$3:F54))</f>
        <v/>
      </c>
    </row>
    <row r="55" spans="1:7" ht="15" customHeight="1" x14ac:dyDescent="0.2">
      <c r="A55" s="71"/>
      <c r="B55" s="40" t="str">
        <f>IF(A55="","",COUNTIF('Trade Log'!B:B,A55))</f>
        <v/>
      </c>
      <c r="C55" s="40" t="str">
        <f>IF(A55="","",COUNTIFS('Trade Log'!B:B,A55,'Trade Log'!Q:Q,"WIN"))</f>
        <v/>
      </c>
      <c r="D55" s="40" t="str">
        <f>IF(A55="","",COUNTIFS('Trade Log'!B:B,A55,'Trade Log'!Q:Q,"LOSS"))</f>
        <v/>
      </c>
      <c r="E55" s="41" t="str">
        <f t="shared" si="0"/>
        <v>-</v>
      </c>
      <c r="F55" s="42" t="str">
        <f>IF(A55="","",SUMIF('Trade Log'!B:B,A55,'Trade Log'!N:N))</f>
        <v/>
      </c>
      <c r="G55" s="42" t="str">
        <f>IF(A55="","",SUM($F$3:F55))</f>
        <v/>
      </c>
    </row>
    <row r="56" spans="1:7" ht="15" customHeight="1" x14ac:dyDescent="0.2">
      <c r="A56" s="71"/>
      <c r="B56" s="40" t="str">
        <f>IF(A56="","",COUNTIF('Trade Log'!B:B,A56))</f>
        <v/>
      </c>
      <c r="C56" s="40" t="str">
        <f>IF(A56="","",COUNTIFS('Trade Log'!B:B,A56,'Trade Log'!Q:Q,"WIN"))</f>
        <v/>
      </c>
      <c r="D56" s="40" t="str">
        <f>IF(A56="","",COUNTIFS('Trade Log'!B:B,A56,'Trade Log'!Q:Q,"LOSS"))</f>
        <v/>
      </c>
      <c r="E56" s="41" t="str">
        <f t="shared" si="0"/>
        <v>-</v>
      </c>
      <c r="F56" s="42" t="str">
        <f>IF(A56="","",SUMIF('Trade Log'!B:B,A56,'Trade Log'!N:N))</f>
        <v/>
      </c>
      <c r="G56" s="42" t="str">
        <f>IF(A56="","",SUM($F$3:F56))</f>
        <v/>
      </c>
    </row>
    <row r="57" spans="1:7" ht="15" customHeight="1" x14ac:dyDescent="0.2">
      <c r="A57" s="71"/>
      <c r="B57" s="40" t="str">
        <f>IF(A57="","",COUNTIF('Trade Log'!B:B,A57))</f>
        <v/>
      </c>
      <c r="C57" s="40" t="str">
        <f>IF(A57="","",COUNTIFS('Trade Log'!B:B,A57,'Trade Log'!Q:Q,"WIN"))</f>
        <v/>
      </c>
      <c r="D57" s="40" t="str">
        <f>IF(A57="","",COUNTIFS('Trade Log'!B:B,A57,'Trade Log'!Q:Q,"LOSS"))</f>
        <v/>
      </c>
      <c r="E57" s="41" t="str">
        <f t="shared" si="0"/>
        <v>-</v>
      </c>
      <c r="F57" s="42" t="str">
        <f>IF(A57="","",SUMIF('Trade Log'!B:B,A57,'Trade Log'!N:N))</f>
        <v/>
      </c>
      <c r="G57" s="42" t="str">
        <f>IF(A57="","",SUM($F$3:F57))</f>
        <v/>
      </c>
    </row>
    <row r="58" spans="1:7" ht="15" customHeight="1" x14ac:dyDescent="0.2">
      <c r="A58" s="71"/>
      <c r="B58" s="40" t="str">
        <f>IF(A58="","",COUNTIF('Trade Log'!B:B,A58))</f>
        <v/>
      </c>
      <c r="C58" s="40" t="str">
        <f>IF(A58="","",COUNTIFS('Trade Log'!B:B,A58,'Trade Log'!Q:Q,"WIN"))</f>
        <v/>
      </c>
      <c r="D58" s="40" t="str">
        <f>IF(A58="","",COUNTIFS('Trade Log'!B:B,A58,'Trade Log'!Q:Q,"LOSS"))</f>
        <v/>
      </c>
      <c r="E58" s="41" t="str">
        <f t="shared" si="0"/>
        <v>-</v>
      </c>
      <c r="F58" s="42" t="str">
        <f>IF(A58="","",SUMIF('Trade Log'!B:B,A58,'Trade Log'!N:N))</f>
        <v/>
      </c>
      <c r="G58" s="42" t="str">
        <f>IF(A58="","",SUM($F$3:F58))</f>
        <v/>
      </c>
    </row>
    <row r="59" spans="1:7" ht="15" customHeight="1" x14ac:dyDescent="0.2">
      <c r="A59" s="71"/>
      <c r="B59" s="40" t="str">
        <f>IF(A59="","",COUNTIF('Trade Log'!B:B,A59))</f>
        <v/>
      </c>
      <c r="C59" s="40" t="str">
        <f>IF(A59="","",COUNTIFS('Trade Log'!B:B,A59,'Trade Log'!Q:Q,"WIN"))</f>
        <v/>
      </c>
      <c r="D59" s="40" t="str">
        <f>IF(A59="","",COUNTIFS('Trade Log'!B:B,A59,'Trade Log'!Q:Q,"LOSS"))</f>
        <v/>
      </c>
      <c r="E59" s="41" t="str">
        <f t="shared" si="0"/>
        <v>-</v>
      </c>
      <c r="F59" s="42" t="str">
        <f>IF(A59="","",SUMIF('Trade Log'!B:B,A59,'Trade Log'!N:N))</f>
        <v/>
      </c>
      <c r="G59" s="42" t="str">
        <f>IF(A59="","",SUM($F$3:F59))</f>
        <v/>
      </c>
    </row>
    <row r="60" spans="1:7" ht="15" customHeight="1" x14ac:dyDescent="0.2">
      <c r="A60" s="71"/>
      <c r="B60" s="40" t="str">
        <f>IF(A60="","",COUNTIF('Trade Log'!B:B,A60))</f>
        <v/>
      </c>
      <c r="C60" s="40" t="str">
        <f>IF(A60="","",COUNTIFS('Trade Log'!B:B,A60,'Trade Log'!Q:Q,"WIN"))</f>
        <v/>
      </c>
      <c r="D60" s="40" t="str">
        <f>IF(A60="","",COUNTIFS('Trade Log'!B:B,A60,'Trade Log'!Q:Q,"LOSS"))</f>
        <v/>
      </c>
      <c r="E60" s="41" t="str">
        <f t="shared" si="0"/>
        <v>-</v>
      </c>
      <c r="F60" s="42" t="str">
        <f>IF(A60="","",SUMIF('Trade Log'!B:B,A60,'Trade Log'!N:N))</f>
        <v/>
      </c>
      <c r="G60" s="42" t="str">
        <f>IF(A60="","",SUM($F$3:F60))</f>
        <v/>
      </c>
    </row>
    <row r="61" spans="1:7" ht="15" customHeight="1" x14ac:dyDescent="0.2">
      <c r="A61" s="71"/>
      <c r="B61" s="40" t="str">
        <f>IF(A61="","",COUNTIF('Trade Log'!B:B,A61))</f>
        <v/>
      </c>
      <c r="C61" s="40" t="str">
        <f>IF(A61="","",COUNTIFS('Trade Log'!B:B,A61,'Trade Log'!Q:Q,"WIN"))</f>
        <v/>
      </c>
      <c r="D61" s="40" t="str">
        <f>IF(A61="","",COUNTIFS('Trade Log'!B:B,A61,'Trade Log'!Q:Q,"LOSS"))</f>
        <v/>
      </c>
      <c r="E61" s="41" t="str">
        <f t="shared" si="0"/>
        <v>-</v>
      </c>
      <c r="F61" s="42" t="str">
        <f>IF(A61="","",SUMIF('Trade Log'!B:B,A61,'Trade Log'!N:N))</f>
        <v/>
      </c>
      <c r="G61" s="42" t="str">
        <f>IF(A61="","",SUM($F$3:F61))</f>
        <v/>
      </c>
    </row>
    <row r="62" spans="1:7" ht="15" customHeight="1" x14ac:dyDescent="0.2">
      <c r="A62" s="71"/>
      <c r="B62" s="40" t="str">
        <f>IF(A62="","",COUNTIF('Trade Log'!B:B,A62))</f>
        <v/>
      </c>
      <c r="C62" s="40" t="str">
        <f>IF(A62="","",COUNTIFS('Trade Log'!B:B,A62,'Trade Log'!Q:Q,"WIN"))</f>
        <v/>
      </c>
      <c r="D62" s="40" t="str">
        <f>IF(A62="","",COUNTIFS('Trade Log'!B:B,A62,'Trade Log'!Q:Q,"LOSS"))</f>
        <v/>
      </c>
      <c r="E62" s="41" t="str">
        <f t="shared" si="0"/>
        <v>-</v>
      </c>
      <c r="F62" s="42" t="str">
        <f>IF(A62="","",SUMIF('Trade Log'!B:B,A62,'Trade Log'!N:N))</f>
        <v/>
      </c>
      <c r="G62" s="42" t="str">
        <f>IF(A62="","",SUM($F$3:F62))</f>
        <v/>
      </c>
    </row>
    <row r="63" spans="1:7" ht="15" customHeight="1" x14ac:dyDescent="0.2">
      <c r="A63" s="71"/>
      <c r="B63" s="40" t="str">
        <f>IF(A63="","",COUNTIF('Trade Log'!B:B,A63))</f>
        <v/>
      </c>
      <c r="C63" s="40" t="str">
        <f>IF(A63="","",COUNTIFS('Trade Log'!B:B,A63,'Trade Log'!Q:Q,"WIN"))</f>
        <v/>
      </c>
      <c r="D63" s="40" t="str">
        <f>IF(A63="","",COUNTIFS('Trade Log'!B:B,A63,'Trade Log'!Q:Q,"LOSS"))</f>
        <v/>
      </c>
      <c r="E63" s="41" t="str">
        <f t="shared" si="0"/>
        <v>-</v>
      </c>
      <c r="F63" s="42" t="str">
        <f>IF(A63="","",SUMIF('Trade Log'!B:B,A63,'Trade Log'!N:N))</f>
        <v/>
      </c>
      <c r="G63" s="42" t="str">
        <f>IF(A63="","",SUM($F$3:F63))</f>
        <v/>
      </c>
    </row>
    <row r="64" spans="1:7" ht="15" customHeight="1" x14ac:dyDescent="0.2">
      <c r="A64" s="71"/>
      <c r="B64" s="40" t="str">
        <f>IF(A64="","",COUNTIF('Trade Log'!B:B,A64))</f>
        <v/>
      </c>
      <c r="C64" s="40" t="str">
        <f>IF(A64="","",COUNTIFS('Trade Log'!B:B,A64,'Trade Log'!Q:Q,"WIN"))</f>
        <v/>
      </c>
      <c r="D64" s="40" t="str">
        <f>IF(A64="","",COUNTIFS('Trade Log'!B:B,A64,'Trade Log'!Q:Q,"LOSS"))</f>
        <v/>
      </c>
      <c r="E64" s="41" t="str">
        <f t="shared" si="0"/>
        <v>-</v>
      </c>
      <c r="F64" s="42" t="str">
        <f>IF(A64="","",SUMIF('Trade Log'!B:B,A64,'Trade Log'!N:N))</f>
        <v/>
      </c>
      <c r="G64" s="42" t="str">
        <f>IF(A64="","",SUM($F$3:F64))</f>
        <v/>
      </c>
    </row>
    <row r="65" spans="1:7" ht="15" customHeight="1" x14ac:dyDescent="0.2">
      <c r="A65" s="71"/>
      <c r="B65" s="40" t="str">
        <f>IF(A65="","",COUNTIF('Trade Log'!B:B,A65))</f>
        <v/>
      </c>
      <c r="C65" s="40" t="str">
        <f>IF(A65="","",COUNTIFS('Trade Log'!B:B,A65,'Trade Log'!Q:Q,"WIN"))</f>
        <v/>
      </c>
      <c r="D65" s="40" t="str">
        <f>IF(A65="","",COUNTIFS('Trade Log'!B:B,A65,'Trade Log'!Q:Q,"LOSS"))</f>
        <v/>
      </c>
      <c r="E65" s="41" t="str">
        <f t="shared" si="0"/>
        <v>-</v>
      </c>
      <c r="F65" s="42" t="str">
        <f>IF(A65="","",SUMIF('Trade Log'!B:B,A65,'Trade Log'!N:N))</f>
        <v/>
      </c>
      <c r="G65" s="42" t="str">
        <f>IF(A65="","",SUM($F$3:F65))</f>
        <v/>
      </c>
    </row>
    <row r="66" spans="1:7" ht="15" customHeight="1" x14ac:dyDescent="0.2">
      <c r="A66" s="71"/>
      <c r="B66" s="40" t="str">
        <f>IF(A66="","",COUNTIF('Trade Log'!B:B,A66))</f>
        <v/>
      </c>
      <c r="C66" s="40" t="str">
        <f>IF(A66="","",COUNTIFS('Trade Log'!B:B,A66,'Trade Log'!Q:Q,"WIN"))</f>
        <v/>
      </c>
      <c r="D66" s="40" t="str">
        <f>IF(A66="","",COUNTIFS('Trade Log'!B:B,A66,'Trade Log'!Q:Q,"LOSS"))</f>
        <v/>
      </c>
      <c r="E66" s="41" t="str">
        <f t="shared" si="0"/>
        <v>-</v>
      </c>
      <c r="F66" s="42" t="str">
        <f>IF(A66="","",SUMIF('Trade Log'!B:B,A66,'Trade Log'!N:N))</f>
        <v/>
      </c>
      <c r="G66" s="42" t="str">
        <f>IF(A66="","",SUM($F$3:F66))</f>
        <v/>
      </c>
    </row>
    <row r="67" spans="1:7" ht="15" customHeight="1" x14ac:dyDescent="0.2">
      <c r="A67" s="71"/>
      <c r="B67" s="40" t="str">
        <f>IF(A67="","",COUNTIF('Trade Log'!B:B,A67))</f>
        <v/>
      </c>
      <c r="C67" s="40" t="str">
        <f>IF(A67="","",COUNTIFS('Trade Log'!B:B,A67,'Trade Log'!Q:Q,"WIN"))</f>
        <v/>
      </c>
      <c r="D67" s="40" t="str">
        <f>IF(A67="","",COUNTIFS('Trade Log'!B:B,A67,'Trade Log'!Q:Q,"LOSS"))</f>
        <v/>
      </c>
      <c r="E67" s="41" t="str">
        <f t="shared" ref="E67:E130" si="1">IF(OR(A67="",B67=0),"-",C67/B67)</f>
        <v>-</v>
      </c>
      <c r="F67" s="42" t="str">
        <f>IF(A67="","",SUMIF('Trade Log'!B:B,A67,'Trade Log'!N:N))</f>
        <v/>
      </c>
      <c r="G67" s="42" t="str">
        <f>IF(A67="","",SUM($F$3:F67))</f>
        <v/>
      </c>
    </row>
    <row r="68" spans="1:7" ht="15" customHeight="1" x14ac:dyDescent="0.2">
      <c r="A68" s="71"/>
      <c r="B68" s="40" t="str">
        <f>IF(A68="","",COUNTIF('Trade Log'!B:B,A68))</f>
        <v/>
      </c>
      <c r="C68" s="40" t="str">
        <f>IF(A68="","",COUNTIFS('Trade Log'!B:B,A68,'Trade Log'!Q:Q,"WIN"))</f>
        <v/>
      </c>
      <c r="D68" s="40" t="str">
        <f>IF(A68="","",COUNTIFS('Trade Log'!B:B,A68,'Trade Log'!Q:Q,"LOSS"))</f>
        <v/>
      </c>
      <c r="E68" s="41" t="str">
        <f t="shared" si="1"/>
        <v>-</v>
      </c>
      <c r="F68" s="42" t="str">
        <f>IF(A68="","",SUMIF('Trade Log'!B:B,A68,'Trade Log'!N:N))</f>
        <v/>
      </c>
      <c r="G68" s="42" t="str">
        <f>IF(A68="","",SUM($F$3:F68))</f>
        <v/>
      </c>
    </row>
    <row r="69" spans="1:7" ht="15" customHeight="1" x14ac:dyDescent="0.2">
      <c r="A69" s="71"/>
      <c r="B69" s="40" t="str">
        <f>IF(A69="","",COUNTIF('Trade Log'!B:B,A69))</f>
        <v/>
      </c>
      <c r="C69" s="40" t="str">
        <f>IF(A69="","",COUNTIFS('Trade Log'!B:B,A69,'Trade Log'!Q:Q,"WIN"))</f>
        <v/>
      </c>
      <c r="D69" s="40" t="str">
        <f>IF(A69="","",COUNTIFS('Trade Log'!B:B,A69,'Trade Log'!Q:Q,"LOSS"))</f>
        <v/>
      </c>
      <c r="E69" s="41" t="str">
        <f t="shared" si="1"/>
        <v>-</v>
      </c>
      <c r="F69" s="42" t="str">
        <f>IF(A69="","",SUMIF('Trade Log'!B:B,A69,'Trade Log'!N:N))</f>
        <v/>
      </c>
      <c r="G69" s="42" t="str">
        <f>IF(A69="","",SUM($F$3:F69))</f>
        <v/>
      </c>
    </row>
    <row r="70" spans="1:7" ht="15" customHeight="1" x14ac:dyDescent="0.2">
      <c r="A70" s="71"/>
      <c r="B70" s="40" t="str">
        <f>IF(A70="","",COUNTIF('Trade Log'!B:B,A70))</f>
        <v/>
      </c>
      <c r="C70" s="40" t="str">
        <f>IF(A70="","",COUNTIFS('Trade Log'!B:B,A70,'Trade Log'!Q:Q,"WIN"))</f>
        <v/>
      </c>
      <c r="D70" s="40" t="str">
        <f>IF(A70="","",COUNTIFS('Trade Log'!B:B,A70,'Trade Log'!Q:Q,"LOSS"))</f>
        <v/>
      </c>
      <c r="E70" s="41" t="str">
        <f t="shared" si="1"/>
        <v>-</v>
      </c>
      <c r="F70" s="42" t="str">
        <f>IF(A70="","",SUMIF('Trade Log'!B:B,A70,'Trade Log'!N:N))</f>
        <v/>
      </c>
      <c r="G70" s="42" t="str">
        <f>IF(A70="","",SUM($F$3:F70))</f>
        <v/>
      </c>
    </row>
    <row r="71" spans="1:7" ht="15" customHeight="1" x14ac:dyDescent="0.2">
      <c r="A71" s="71"/>
      <c r="B71" s="40" t="str">
        <f>IF(A71="","",COUNTIF('Trade Log'!B:B,A71))</f>
        <v/>
      </c>
      <c r="C71" s="40" t="str">
        <f>IF(A71="","",COUNTIFS('Trade Log'!B:B,A71,'Trade Log'!Q:Q,"WIN"))</f>
        <v/>
      </c>
      <c r="D71" s="40" t="str">
        <f>IF(A71="","",COUNTIFS('Trade Log'!B:B,A71,'Trade Log'!Q:Q,"LOSS"))</f>
        <v/>
      </c>
      <c r="E71" s="41" t="str">
        <f t="shared" si="1"/>
        <v>-</v>
      </c>
      <c r="F71" s="42" t="str">
        <f>IF(A71="","",SUMIF('Trade Log'!B:B,A71,'Trade Log'!N:N))</f>
        <v/>
      </c>
      <c r="G71" s="42" t="str">
        <f>IF(A71="","",SUM($F$3:F71))</f>
        <v/>
      </c>
    </row>
    <row r="72" spans="1:7" ht="15" customHeight="1" x14ac:dyDescent="0.2">
      <c r="A72" s="71"/>
      <c r="B72" s="40" t="str">
        <f>IF(A72="","",COUNTIF('Trade Log'!B:B,A72))</f>
        <v/>
      </c>
      <c r="C72" s="40" t="str">
        <f>IF(A72="","",COUNTIFS('Trade Log'!B:B,A72,'Trade Log'!Q:Q,"WIN"))</f>
        <v/>
      </c>
      <c r="D72" s="40" t="str">
        <f>IF(A72="","",COUNTIFS('Trade Log'!B:B,A72,'Trade Log'!Q:Q,"LOSS"))</f>
        <v/>
      </c>
      <c r="E72" s="41" t="str">
        <f t="shared" si="1"/>
        <v>-</v>
      </c>
      <c r="F72" s="42" t="str">
        <f>IF(A72="","",SUMIF('Trade Log'!B:B,A72,'Trade Log'!N:N))</f>
        <v/>
      </c>
      <c r="G72" s="42" t="str">
        <f>IF(A72="","",SUM($F$3:F72))</f>
        <v/>
      </c>
    </row>
    <row r="73" spans="1:7" ht="15" customHeight="1" x14ac:dyDescent="0.2">
      <c r="A73" s="71"/>
      <c r="B73" s="40" t="str">
        <f>IF(A73="","",COUNTIF('Trade Log'!B:B,A73))</f>
        <v/>
      </c>
      <c r="C73" s="40" t="str">
        <f>IF(A73="","",COUNTIFS('Trade Log'!B:B,A73,'Trade Log'!Q:Q,"WIN"))</f>
        <v/>
      </c>
      <c r="D73" s="40" t="str">
        <f>IF(A73="","",COUNTIFS('Trade Log'!B:B,A73,'Trade Log'!Q:Q,"LOSS"))</f>
        <v/>
      </c>
      <c r="E73" s="41" t="str">
        <f t="shared" si="1"/>
        <v>-</v>
      </c>
      <c r="F73" s="42" t="str">
        <f>IF(A73="","",SUMIF('Trade Log'!B:B,A73,'Trade Log'!N:N))</f>
        <v/>
      </c>
      <c r="G73" s="42" t="str">
        <f>IF(A73="","",SUM($F$3:F73))</f>
        <v/>
      </c>
    </row>
    <row r="74" spans="1:7" ht="15" customHeight="1" x14ac:dyDescent="0.2">
      <c r="A74" s="71"/>
      <c r="B74" s="40" t="str">
        <f>IF(A74="","",COUNTIF('Trade Log'!B:B,A74))</f>
        <v/>
      </c>
      <c r="C74" s="40" t="str">
        <f>IF(A74="","",COUNTIFS('Trade Log'!B:B,A74,'Trade Log'!Q:Q,"WIN"))</f>
        <v/>
      </c>
      <c r="D74" s="40" t="str">
        <f>IF(A74="","",COUNTIFS('Trade Log'!B:B,A74,'Trade Log'!Q:Q,"LOSS"))</f>
        <v/>
      </c>
      <c r="E74" s="41" t="str">
        <f t="shared" si="1"/>
        <v>-</v>
      </c>
      <c r="F74" s="42" t="str">
        <f>IF(A74="","",SUMIF('Trade Log'!B:B,A74,'Trade Log'!N:N))</f>
        <v/>
      </c>
      <c r="G74" s="42" t="str">
        <f>IF(A74="","",SUM($F$3:F74))</f>
        <v/>
      </c>
    </row>
    <row r="75" spans="1:7" ht="15" customHeight="1" x14ac:dyDescent="0.2">
      <c r="A75" s="71"/>
      <c r="B75" s="40" t="str">
        <f>IF(A75="","",COUNTIF('Trade Log'!B:B,A75))</f>
        <v/>
      </c>
      <c r="C75" s="40" t="str">
        <f>IF(A75="","",COUNTIFS('Trade Log'!B:B,A75,'Trade Log'!Q:Q,"WIN"))</f>
        <v/>
      </c>
      <c r="D75" s="40" t="str">
        <f>IF(A75="","",COUNTIFS('Trade Log'!B:B,A75,'Trade Log'!Q:Q,"LOSS"))</f>
        <v/>
      </c>
      <c r="E75" s="41" t="str">
        <f t="shared" si="1"/>
        <v>-</v>
      </c>
      <c r="F75" s="42" t="str">
        <f>IF(A75="","",SUMIF('Trade Log'!B:B,A75,'Trade Log'!N:N))</f>
        <v/>
      </c>
      <c r="G75" s="42" t="str">
        <f>IF(A75="","",SUM($F$3:F75))</f>
        <v/>
      </c>
    </row>
    <row r="76" spans="1:7" ht="15" customHeight="1" x14ac:dyDescent="0.2">
      <c r="A76" s="71"/>
      <c r="B76" s="40" t="str">
        <f>IF(A76="","",COUNTIF('Trade Log'!B:B,A76))</f>
        <v/>
      </c>
      <c r="C76" s="40" t="str">
        <f>IF(A76="","",COUNTIFS('Trade Log'!B:B,A76,'Trade Log'!Q:Q,"WIN"))</f>
        <v/>
      </c>
      <c r="D76" s="40" t="str">
        <f>IF(A76="","",COUNTIFS('Trade Log'!B:B,A76,'Trade Log'!Q:Q,"LOSS"))</f>
        <v/>
      </c>
      <c r="E76" s="41" t="str">
        <f t="shared" si="1"/>
        <v>-</v>
      </c>
      <c r="F76" s="42" t="str">
        <f>IF(A76="","",SUMIF('Trade Log'!B:B,A76,'Trade Log'!N:N))</f>
        <v/>
      </c>
      <c r="G76" s="42" t="str">
        <f>IF(A76="","",SUM($F$3:F76))</f>
        <v/>
      </c>
    </row>
    <row r="77" spans="1:7" ht="15" customHeight="1" x14ac:dyDescent="0.2">
      <c r="A77" s="71"/>
      <c r="B77" s="40" t="str">
        <f>IF(A77="","",COUNTIF('Trade Log'!B:B,A77))</f>
        <v/>
      </c>
      <c r="C77" s="40" t="str">
        <f>IF(A77="","",COUNTIFS('Trade Log'!B:B,A77,'Trade Log'!Q:Q,"WIN"))</f>
        <v/>
      </c>
      <c r="D77" s="40" t="str">
        <f>IF(A77="","",COUNTIFS('Trade Log'!B:B,A77,'Trade Log'!Q:Q,"LOSS"))</f>
        <v/>
      </c>
      <c r="E77" s="41" t="str">
        <f t="shared" si="1"/>
        <v>-</v>
      </c>
      <c r="F77" s="42" t="str">
        <f>IF(A77="","",SUMIF('Trade Log'!B:B,A77,'Trade Log'!N:N))</f>
        <v/>
      </c>
      <c r="G77" s="42" t="str">
        <f>IF(A77="","",SUM($F$3:F77))</f>
        <v/>
      </c>
    </row>
    <row r="78" spans="1:7" ht="15" customHeight="1" x14ac:dyDescent="0.2">
      <c r="A78" s="71"/>
      <c r="B78" s="40" t="str">
        <f>IF(A78="","",COUNTIF('Trade Log'!B:B,A78))</f>
        <v/>
      </c>
      <c r="C78" s="40" t="str">
        <f>IF(A78="","",COUNTIFS('Trade Log'!B:B,A78,'Trade Log'!Q:Q,"WIN"))</f>
        <v/>
      </c>
      <c r="D78" s="40" t="str">
        <f>IF(A78="","",COUNTIFS('Trade Log'!B:B,A78,'Trade Log'!Q:Q,"LOSS"))</f>
        <v/>
      </c>
      <c r="E78" s="41" t="str">
        <f t="shared" si="1"/>
        <v>-</v>
      </c>
      <c r="F78" s="42" t="str">
        <f>IF(A78="","",SUMIF('Trade Log'!B:B,A78,'Trade Log'!N:N))</f>
        <v/>
      </c>
      <c r="G78" s="42" t="str">
        <f>IF(A78="","",SUM($F$3:F78))</f>
        <v/>
      </c>
    </row>
    <row r="79" spans="1:7" ht="15" customHeight="1" x14ac:dyDescent="0.2">
      <c r="A79" s="71"/>
      <c r="B79" s="40" t="str">
        <f>IF(A79="","",COUNTIF('Trade Log'!B:B,A79))</f>
        <v/>
      </c>
      <c r="C79" s="40" t="str">
        <f>IF(A79="","",COUNTIFS('Trade Log'!B:B,A79,'Trade Log'!Q:Q,"WIN"))</f>
        <v/>
      </c>
      <c r="D79" s="40" t="str">
        <f>IF(A79="","",COUNTIFS('Trade Log'!B:B,A79,'Trade Log'!Q:Q,"LOSS"))</f>
        <v/>
      </c>
      <c r="E79" s="41" t="str">
        <f t="shared" si="1"/>
        <v>-</v>
      </c>
      <c r="F79" s="42" t="str">
        <f>IF(A79="","",SUMIF('Trade Log'!B:B,A79,'Trade Log'!N:N))</f>
        <v/>
      </c>
      <c r="G79" s="42" t="str">
        <f>IF(A79="","",SUM($F$3:F79))</f>
        <v/>
      </c>
    </row>
    <row r="80" spans="1:7" ht="15" customHeight="1" x14ac:dyDescent="0.2">
      <c r="A80" s="71"/>
      <c r="B80" s="40" t="str">
        <f>IF(A80="","",COUNTIF('Trade Log'!B:B,A80))</f>
        <v/>
      </c>
      <c r="C80" s="40" t="str">
        <f>IF(A80="","",COUNTIFS('Trade Log'!B:B,A80,'Trade Log'!Q:Q,"WIN"))</f>
        <v/>
      </c>
      <c r="D80" s="40" t="str">
        <f>IF(A80="","",COUNTIFS('Trade Log'!B:B,A80,'Trade Log'!Q:Q,"LOSS"))</f>
        <v/>
      </c>
      <c r="E80" s="41" t="str">
        <f t="shared" si="1"/>
        <v>-</v>
      </c>
      <c r="F80" s="42" t="str">
        <f>IF(A80="","",SUMIF('Trade Log'!B:B,A80,'Trade Log'!N:N))</f>
        <v/>
      </c>
      <c r="G80" s="42" t="str">
        <f>IF(A80="","",SUM($F$3:F80))</f>
        <v/>
      </c>
    </row>
    <row r="81" spans="1:7" ht="15" customHeight="1" x14ac:dyDescent="0.2">
      <c r="A81" s="71"/>
      <c r="B81" s="40" t="str">
        <f>IF(A81="","",COUNTIF('Trade Log'!B:B,A81))</f>
        <v/>
      </c>
      <c r="C81" s="40" t="str">
        <f>IF(A81="","",COUNTIFS('Trade Log'!B:B,A81,'Trade Log'!Q:Q,"WIN"))</f>
        <v/>
      </c>
      <c r="D81" s="40" t="str">
        <f>IF(A81="","",COUNTIFS('Trade Log'!B:B,A81,'Trade Log'!Q:Q,"LOSS"))</f>
        <v/>
      </c>
      <c r="E81" s="41" t="str">
        <f t="shared" si="1"/>
        <v>-</v>
      </c>
      <c r="F81" s="42" t="str">
        <f>IF(A81="","",SUMIF('Trade Log'!B:B,A81,'Trade Log'!N:N))</f>
        <v/>
      </c>
      <c r="G81" s="42" t="str">
        <f>IF(A81="","",SUM($F$3:F81))</f>
        <v/>
      </c>
    </row>
    <row r="82" spans="1:7" ht="15" customHeight="1" x14ac:dyDescent="0.2">
      <c r="A82" s="71"/>
      <c r="B82" s="40" t="str">
        <f>IF(A82="","",COUNTIF('Trade Log'!B:B,A82))</f>
        <v/>
      </c>
      <c r="C82" s="40" t="str">
        <f>IF(A82="","",COUNTIFS('Trade Log'!B:B,A82,'Trade Log'!Q:Q,"WIN"))</f>
        <v/>
      </c>
      <c r="D82" s="40" t="str">
        <f>IF(A82="","",COUNTIFS('Trade Log'!B:B,A82,'Trade Log'!Q:Q,"LOSS"))</f>
        <v/>
      </c>
      <c r="E82" s="41" t="str">
        <f t="shared" si="1"/>
        <v>-</v>
      </c>
      <c r="F82" s="42" t="str">
        <f>IF(A82="","",SUMIF('Trade Log'!B:B,A82,'Trade Log'!N:N))</f>
        <v/>
      </c>
      <c r="G82" s="42" t="str">
        <f>IF(A82="","",SUM($F$3:F82))</f>
        <v/>
      </c>
    </row>
    <row r="83" spans="1:7" ht="15" customHeight="1" x14ac:dyDescent="0.2">
      <c r="A83" s="71"/>
      <c r="B83" s="40" t="str">
        <f>IF(A83="","",COUNTIF('Trade Log'!B:B,A83))</f>
        <v/>
      </c>
      <c r="C83" s="40" t="str">
        <f>IF(A83="","",COUNTIFS('Trade Log'!B:B,A83,'Trade Log'!Q:Q,"WIN"))</f>
        <v/>
      </c>
      <c r="D83" s="40" t="str">
        <f>IF(A83="","",COUNTIFS('Trade Log'!B:B,A83,'Trade Log'!Q:Q,"LOSS"))</f>
        <v/>
      </c>
      <c r="E83" s="41" t="str">
        <f t="shared" si="1"/>
        <v>-</v>
      </c>
      <c r="F83" s="42" t="str">
        <f>IF(A83="","",SUMIF('Trade Log'!B:B,A83,'Trade Log'!N:N))</f>
        <v/>
      </c>
      <c r="G83" s="42" t="str">
        <f>IF(A83="","",SUM($F$3:F83))</f>
        <v/>
      </c>
    </row>
    <row r="84" spans="1:7" ht="15" customHeight="1" x14ac:dyDescent="0.2">
      <c r="A84" s="71"/>
      <c r="B84" s="40" t="str">
        <f>IF(A84="","",COUNTIF('Trade Log'!B:B,A84))</f>
        <v/>
      </c>
      <c r="C84" s="40" t="str">
        <f>IF(A84="","",COUNTIFS('Trade Log'!B:B,A84,'Trade Log'!Q:Q,"WIN"))</f>
        <v/>
      </c>
      <c r="D84" s="40" t="str">
        <f>IF(A84="","",COUNTIFS('Trade Log'!B:B,A84,'Trade Log'!Q:Q,"LOSS"))</f>
        <v/>
      </c>
      <c r="E84" s="41" t="str">
        <f t="shared" si="1"/>
        <v>-</v>
      </c>
      <c r="F84" s="42" t="str">
        <f>IF(A84="","",SUMIF('Trade Log'!B:B,A84,'Trade Log'!N:N))</f>
        <v/>
      </c>
      <c r="G84" s="42" t="str">
        <f>IF(A84="","",SUM($F$3:F84))</f>
        <v/>
      </c>
    </row>
    <row r="85" spans="1:7" ht="15" customHeight="1" x14ac:dyDescent="0.2">
      <c r="A85" s="71"/>
      <c r="B85" s="40" t="str">
        <f>IF(A85="","",COUNTIF('Trade Log'!B:B,A85))</f>
        <v/>
      </c>
      <c r="C85" s="40" t="str">
        <f>IF(A85="","",COUNTIFS('Trade Log'!B:B,A85,'Trade Log'!Q:Q,"WIN"))</f>
        <v/>
      </c>
      <c r="D85" s="40" t="str">
        <f>IF(A85="","",COUNTIFS('Trade Log'!B:B,A85,'Trade Log'!Q:Q,"LOSS"))</f>
        <v/>
      </c>
      <c r="E85" s="41" t="str">
        <f t="shared" si="1"/>
        <v>-</v>
      </c>
      <c r="F85" s="42" t="str">
        <f>IF(A85="","",SUMIF('Trade Log'!B:B,A85,'Trade Log'!N:N))</f>
        <v/>
      </c>
      <c r="G85" s="42" t="str">
        <f>IF(A85="","",SUM($F$3:F85))</f>
        <v/>
      </c>
    </row>
    <row r="86" spans="1:7" ht="15" customHeight="1" x14ac:dyDescent="0.2">
      <c r="A86" s="71"/>
      <c r="B86" s="40" t="str">
        <f>IF(A86="","",COUNTIF('Trade Log'!B:B,A86))</f>
        <v/>
      </c>
      <c r="C86" s="40" t="str">
        <f>IF(A86="","",COUNTIFS('Trade Log'!B:B,A86,'Trade Log'!Q:Q,"WIN"))</f>
        <v/>
      </c>
      <c r="D86" s="40" t="str">
        <f>IF(A86="","",COUNTIFS('Trade Log'!B:B,A86,'Trade Log'!Q:Q,"LOSS"))</f>
        <v/>
      </c>
      <c r="E86" s="41" t="str">
        <f t="shared" si="1"/>
        <v>-</v>
      </c>
      <c r="F86" s="42" t="str">
        <f>IF(A86="","",SUMIF('Trade Log'!B:B,A86,'Trade Log'!N:N))</f>
        <v/>
      </c>
      <c r="G86" s="42" t="str">
        <f>IF(A86="","",SUM($F$3:F86))</f>
        <v/>
      </c>
    </row>
    <row r="87" spans="1:7" ht="15" customHeight="1" x14ac:dyDescent="0.2">
      <c r="A87" s="71"/>
      <c r="B87" s="40" t="str">
        <f>IF(A87="","",COUNTIF('Trade Log'!B:B,A87))</f>
        <v/>
      </c>
      <c r="C87" s="40" t="str">
        <f>IF(A87="","",COUNTIFS('Trade Log'!B:B,A87,'Trade Log'!Q:Q,"WIN"))</f>
        <v/>
      </c>
      <c r="D87" s="40" t="str">
        <f>IF(A87="","",COUNTIFS('Trade Log'!B:B,A87,'Trade Log'!Q:Q,"LOSS"))</f>
        <v/>
      </c>
      <c r="E87" s="41" t="str">
        <f t="shared" si="1"/>
        <v>-</v>
      </c>
      <c r="F87" s="42" t="str">
        <f>IF(A87="","",SUMIF('Trade Log'!B:B,A87,'Trade Log'!N:N))</f>
        <v/>
      </c>
      <c r="G87" s="42" t="str">
        <f>IF(A87="","",SUM($F$3:F87))</f>
        <v/>
      </c>
    </row>
    <row r="88" spans="1:7" ht="15" customHeight="1" x14ac:dyDescent="0.2">
      <c r="A88" s="71"/>
      <c r="B88" s="40" t="str">
        <f>IF(A88="","",COUNTIF('Trade Log'!B:B,A88))</f>
        <v/>
      </c>
      <c r="C88" s="40" t="str">
        <f>IF(A88="","",COUNTIFS('Trade Log'!B:B,A88,'Trade Log'!Q:Q,"WIN"))</f>
        <v/>
      </c>
      <c r="D88" s="40" t="str">
        <f>IF(A88="","",COUNTIFS('Trade Log'!B:B,A88,'Trade Log'!Q:Q,"LOSS"))</f>
        <v/>
      </c>
      <c r="E88" s="41" t="str">
        <f t="shared" si="1"/>
        <v>-</v>
      </c>
      <c r="F88" s="42" t="str">
        <f>IF(A88="","",SUMIF('Trade Log'!B:B,A88,'Trade Log'!N:N))</f>
        <v/>
      </c>
      <c r="G88" s="42" t="str">
        <f>IF(A88="","",SUM($F$3:F88))</f>
        <v/>
      </c>
    </row>
    <row r="89" spans="1:7" ht="15" customHeight="1" x14ac:dyDescent="0.2">
      <c r="A89" s="71"/>
      <c r="B89" s="40" t="str">
        <f>IF(A89="","",COUNTIF('Trade Log'!B:B,A89))</f>
        <v/>
      </c>
      <c r="C89" s="40" t="str">
        <f>IF(A89="","",COUNTIFS('Trade Log'!B:B,A89,'Trade Log'!Q:Q,"WIN"))</f>
        <v/>
      </c>
      <c r="D89" s="40" t="str">
        <f>IF(A89="","",COUNTIFS('Trade Log'!B:B,A89,'Trade Log'!Q:Q,"LOSS"))</f>
        <v/>
      </c>
      <c r="E89" s="41" t="str">
        <f t="shared" si="1"/>
        <v>-</v>
      </c>
      <c r="F89" s="42" t="str">
        <f>IF(A89="","",SUMIF('Trade Log'!B:B,A89,'Trade Log'!N:N))</f>
        <v/>
      </c>
      <c r="G89" s="42" t="str">
        <f>IF(A89="","",SUM($F$3:F89))</f>
        <v/>
      </c>
    </row>
    <row r="90" spans="1:7" ht="15" customHeight="1" x14ac:dyDescent="0.2">
      <c r="A90" s="71"/>
      <c r="B90" s="40" t="str">
        <f>IF(A90="","",COUNTIF('Trade Log'!B:B,A90))</f>
        <v/>
      </c>
      <c r="C90" s="40" t="str">
        <f>IF(A90="","",COUNTIFS('Trade Log'!B:B,A90,'Trade Log'!Q:Q,"WIN"))</f>
        <v/>
      </c>
      <c r="D90" s="40" t="str">
        <f>IF(A90="","",COUNTIFS('Trade Log'!B:B,A90,'Trade Log'!Q:Q,"LOSS"))</f>
        <v/>
      </c>
      <c r="E90" s="41" t="str">
        <f t="shared" si="1"/>
        <v>-</v>
      </c>
      <c r="F90" s="42" t="str">
        <f>IF(A90="","",SUMIF('Trade Log'!B:B,A90,'Trade Log'!N:N))</f>
        <v/>
      </c>
      <c r="G90" s="42" t="str">
        <f>IF(A90="","",SUM($F$3:F90))</f>
        <v/>
      </c>
    </row>
    <row r="91" spans="1:7" ht="15" customHeight="1" x14ac:dyDescent="0.2">
      <c r="A91" s="71"/>
      <c r="B91" s="40" t="str">
        <f>IF(A91="","",COUNTIF('Trade Log'!B:B,A91))</f>
        <v/>
      </c>
      <c r="C91" s="40" t="str">
        <f>IF(A91="","",COUNTIFS('Trade Log'!B:B,A91,'Trade Log'!Q:Q,"WIN"))</f>
        <v/>
      </c>
      <c r="D91" s="40" t="str">
        <f>IF(A91="","",COUNTIFS('Trade Log'!B:B,A91,'Trade Log'!Q:Q,"LOSS"))</f>
        <v/>
      </c>
      <c r="E91" s="41" t="str">
        <f t="shared" si="1"/>
        <v>-</v>
      </c>
      <c r="F91" s="42" t="str">
        <f>IF(A91="","",SUMIF('Trade Log'!B:B,A91,'Trade Log'!N:N))</f>
        <v/>
      </c>
      <c r="G91" s="42" t="str">
        <f>IF(A91="","",SUM($F$3:F91))</f>
        <v/>
      </c>
    </row>
    <row r="92" spans="1:7" ht="15" customHeight="1" x14ac:dyDescent="0.2">
      <c r="A92" s="71"/>
      <c r="B92" s="40" t="str">
        <f>IF(A92="","",COUNTIF('Trade Log'!B:B,A92))</f>
        <v/>
      </c>
      <c r="C92" s="40" t="str">
        <f>IF(A92="","",COUNTIFS('Trade Log'!B:B,A92,'Trade Log'!Q:Q,"WIN"))</f>
        <v/>
      </c>
      <c r="D92" s="40" t="str">
        <f>IF(A92="","",COUNTIFS('Trade Log'!B:B,A92,'Trade Log'!Q:Q,"LOSS"))</f>
        <v/>
      </c>
      <c r="E92" s="41" t="str">
        <f t="shared" si="1"/>
        <v>-</v>
      </c>
      <c r="F92" s="42" t="str">
        <f>IF(A92="","",SUMIF('Trade Log'!B:B,A92,'Trade Log'!N:N))</f>
        <v/>
      </c>
      <c r="G92" s="42" t="str">
        <f>IF(A92="","",SUM($F$3:F92))</f>
        <v/>
      </c>
    </row>
    <row r="93" spans="1:7" ht="15" customHeight="1" x14ac:dyDescent="0.2">
      <c r="A93" s="71"/>
      <c r="B93" s="40" t="str">
        <f>IF(A93="","",COUNTIF('Trade Log'!B:B,A93))</f>
        <v/>
      </c>
      <c r="C93" s="40" t="str">
        <f>IF(A93="","",COUNTIFS('Trade Log'!B:B,A93,'Trade Log'!Q:Q,"WIN"))</f>
        <v/>
      </c>
      <c r="D93" s="40" t="str">
        <f>IF(A93="","",COUNTIFS('Trade Log'!B:B,A93,'Trade Log'!Q:Q,"LOSS"))</f>
        <v/>
      </c>
      <c r="E93" s="41" t="str">
        <f t="shared" si="1"/>
        <v>-</v>
      </c>
      <c r="F93" s="42" t="str">
        <f>IF(A93="","",SUMIF('Trade Log'!B:B,A93,'Trade Log'!N:N))</f>
        <v/>
      </c>
      <c r="G93" s="42" t="str">
        <f>IF(A93="","",SUM($F$3:F93))</f>
        <v/>
      </c>
    </row>
    <row r="94" spans="1:7" ht="15" customHeight="1" x14ac:dyDescent="0.2">
      <c r="A94" s="71"/>
      <c r="B94" s="40" t="str">
        <f>IF(A94="","",COUNTIF('Trade Log'!B:B,A94))</f>
        <v/>
      </c>
      <c r="C94" s="40" t="str">
        <f>IF(A94="","",COUNTIFS('Trade Log'!B:B,A94,'Trade Log'!Q:Q,"WIN"))</f>
        <v/>
      </c>
      <c r="D94" s="40" t="str">
        <f>IF(A94="","",COUNTIFS('Trade Log'!B:B,A94,'Trade Log'!Q:Q,"LOSS"))</f>
        <v/>
      </c>
      <c r="E94" s="41" t="str">
        <f t="shared" si="1"/>
        <v>-</v>
      </c>
      <c r="F94" s="42" t="str">
        <f>IF(A94="","",SUMIF('Trade Log'!B:B,A94,'Trade Log'!N:N))</f>
        <v/>
      </c>
      <c r="G94" s="42" t="str">
        <f>IF(A94="","",SUM($F$3:F94))</f>
        <v/>
      </c>
    </row>
    <row r="95" spans="1:7" ht="15" customHeight="1" x14ac:dyDescent="0.2">
      <c r="A95" s="71"/>
      <c r="B95" s="40" t="str">
        <f>IF(A95="","",COUNTIF('Trade Log'!B:B,A95))</f>
        <v/>
      </c>
      <c r="C95" s="40" t="str">
        <f>IF(A95="","",COUNTIFS('Trade Log'!B:B,A95,'Trade Log'!Q:Q,"WIN"))</f>
        <v/>
      </c>
      <c r="D95" s="40" t="str">
        <f>IF(A95="","",COUNTIFS('Trade Log'!B:B,A95,'Trade Log'!Q:Q,"LOSS"))</f>
        <v/>
      </c>
      <c r="E95" s="41" t="str">
        <f t="shared" si="1"/>
        <v>-</v>
      </c>
      <c r="F95" s="42" t="str">
        <f>IF(A95="","",SUMIF('Trade Log'!B:B,A95,'Trade Log'!N:N))</f>
        <v/>
      </c>
      <c r="G95" s="42" t="str">
        <f>IF(A95="","",SUM($F$3:F95))</f>
        <v/>
      </c>
    </row>
    <row r="96" spans="1:7" ht="15" customHeight="1" x14ac:dyDescent="0.2">
      <c r="A96" s="71"/>
      <c r="B96" s="40" t="str">
        <f>IF(A96="","",COUNTIF('Trade Log'!B:B,A96))</f>
        <v/>
      </c>
      <c r="C96" s="40" t="str">
        <f>IF(A96="","",COUNTIFS('Trade Log'!B:B,A96,'Trade Log'!Q:Q,"WIN"))</f>
        <v/>
      </c>
      <c r="D96" s="40" t="str">
        <f>IF(A96="","",COUNTIFS('Trade Log'!B:B,A96,'Trade Log'!Q:Q,"LOSS"))</f>
        <v/>
      </c>
      <c r="E96" s="41" t="str">
        <f t="shared" si="1"/>
        <v>-</v>
      </c>
      <c r="F96" s="42" t="str">
        <f>IF(A96="","",SUMIF('Trade Log'!B:B,A96,'Trade Log'!N:N))</f>
        <v/>
      </c>
      <c r="G96" s="42" t="str">
        <f>IF(A96="","",SUM($F$3:F96))</f>
        <v/>
      </c>
    </row>
    <row r="97" spans="1:7" ht="15" customHeight="1" x14ac:dyDescent="0.2">
      <c r="A97" s="71"/>
      <c r="B97" s="40" t="str">
        <f>IF(A97="","",COUNTIF('Trade Log'!B:B,A97))</f>
        <v/>
      </c>
      <c r="C97" s="40" t="str">
        <f>IF(A97="","",COUNTIFS('Trade Log'!B:B,A97,'Trade Log'!Q:Q,"WIN"))</f>
        <v/>
      </c>
      <c r="D97" s="40" t="str">
        <f>IF(A97="","",COUNTIFS('Trade Log'!B:B,A97,'Trade Log'!Q:Q,"LOSS"))</f>
        <v/>
      </c>
      <c r="E97" s="41" t="str">
        <f t="shared" si="1"/>
        <v>-</v>
      </c>
      <c r="F97" s="42" t="str">
        <f>IF(A97="","",SUMIF('Trade Log'!B:B,A97,'Trade Log'!N:N))</f>
        <v/>
      </c>
      <c r="G97" s="42" t="str">
        <f>IF(A97="","",SUM($F$3:F97))</f>
        <v/>
      </c>
    </row>
    <row r="98" spans="1:7" ht="15" customHeight="1" x14ac:dyDescent="0.2">
      <c r="A98" s="71"/>
      <c r="B98" s="40" t="str">
        <f>IF(A98="","",COUNTIF('Trade Log'!B:B,A98))</f>
        <v/>
      </c>
      <c r="C98" s="40" t="str">
        <f>IF(A98="","",COUNTIFS('Trade Log'!B:B,A98,'Trade Log'!Q:Q,"WIN"))</f>
        <v/>
      </c>
      <c r="D98" s="40" t="str">
        <f>IF(A98="","",COUNTIFS('Trade Log'!B:B,A98,'Trade Log'!Q:Q,"LOSS"))</f>
        <v/>
      </c>
      <c r="E98" s="41" t="str">
        <f t="shared" si="1"/>
        <v>-</v>
      </c>
      <c r="F98" s="42" t="str">
        <f>IF(A98="","",SUMIF('Trade Log'!B:B,A98,'Trade Log'!N:N))</f>
        <v/>
      </c>
      <c r="G98" s="42" t="str">
        <f>IF(A98="","",SUM($F$3:F98))</f>
        <v/>
      </c>
    </row>
    <row r="99" spans="1:7" ht="15" customHeight="1" x14ac:dyDescent="0.2">
      <c r="A99" s="71"/>
      <c r="B99" s="40" t="str">
        <f>IF(A99="","",COUNTIF('Trade Log'!B:B,A99))</f>
        <v/>
      </c>
      <c r="C99" s="40" t="str">
        <f>IF(A99="","",COUNTIFS('Trade Log'!B:B,A99,'Trade Log'!Q:Q,"WIN"))</f>
        <v/>
      </c>
      <c r="D99" s="40" t="str">
        <f>IF(A99="","",COUNTIFS('Trade Log'!B:B,A99,'Trade Log'!Q:Q,"LOSS"))</f>
        <v/>
      </c>
      <c r="E99" s="41" t="str">
        <f t="shared" si="1"/>
        <v>-</v>
      </c>
      <c r="F99" s="42" t="str">
        <f>IF(A99="","",SUMIF('Trade Log'!B:B,A99,'Trade Log'!N:N))</f>
        <v/>
      </c>
      <c r="G99" s="42" t="str">
        <f>IF(A99="","",SUM($F$3:F99))</f>
        <v/>
      </c>
    </row>
    <row r="100" spans="1:7" ht="15" customHeight="1" x14ac:dyDescent="0.2">
      <c r="A100" s="71"/>
      <c r="B100" s="40" t="str">
        <f>IF(A100="","",COUNTIF('Trade Log'!B:B,A100))</f>
        <v/>
      </c>
      <c r="C100" s="40" t="str">
        <f>IF(A100="","",COUNTIFS('Trade Log'!B:B,A100,'Trade Log'!Q:Q,"WIN"))</f>
        <v/>
      </c>
      <c r="D100" s="40" t="str">
        <f>IF(A100="","",COUNTIFS('Trade Log'!B:B,A100,'Trade Log'!Q:Q,"LOSS"))</f>
        <v/>
      </c>
      <c r="E100" s="41" t="str">
        <f t="shared" si="1"/>
        <v>-</v>
      </c>
      <c r="F100" s="42" t="str">
        <f>IF(A100="","",SUMIF('Trade Log'!B:B,A100,'Trade Log'!N:N))</f>
        <v/>
      </c>
      <c r="G100" s="42" t="str">
        <f>IF(A100="","",SUM($F$3:F100))</f>
        <v/>
      </c>
    </row>
    <row r="101" spans="1:7" ht="15" customHeight="1" x14ac:dyDescent="0.2">
      <c r="A101" s="71"/>
      <c r="B101" s="40" t="str">
        <f>IF(A101="","",COUNTIF('Trade Log'!B:B,A101))</f>
        <v/>
      </c>
      <c r="C101" s="40" t="str">
        <f>IF(A101="","",COUNTIFS('Trade Log'!B:B,A101,'Trade Log'!Q:Q,"WIN"))</f>
        <v/>
      </c>
      <c r="D101" s="40" t="str">
        <f>IF(A101="","",COUNTIFS('Trade Log'!B:B,A101,'Trade Log'!Q:Q,"LOSS"))</f>
        <v/>
      </c>
      <c r="E101" s="41" t="str">
        <f t="shared" si="1"/>
        <v>-</v>
      </c>
      <c r="F101" s="42" t="str">
        <f>IF(A101="","",SUMIF('Trade Log'!B:B,A101,'Trade Log'!N:N))</f>
        <v/>
      </c>
      <c r="G101" s="42" t="str">
        <f>IF(A101="","",SUM($F$3:F101))</f>
        <v/>
      </c>
    </row>
    <row r="102" spans="1:7" ht="15" customHeight="1" x14ac:dyDescent="0.2">
      <c r="A102" s="71"/>
      <c r="B102" s="40" t="str">
        <f>IF(A102="","",COUNTIF('Trade Log'!B:B,A102))</f>
        <v/>
      </c>
      <c r="C102" s="40" t="str">
        <f>IF(A102="","",COUNTIFS('Trade Log'!B:B,A102,'Trade Log'!Q:Q,"WIN"))</f>
        <v/>
      </c>
      <c r="D102" s="40" t="str">
        <f>IF(A102="","",COUNTIFS('Trade Log'!B:B,A102,'Trade Log'!Q:Q,"LOSS"))</f>
        <v/>
      </c>
      <c r="E102" s="41" t="str">
        <f t="shared" si="1"/>
        <v>-</v>
      </c>
      <c r="F102" s="42" t="str">
        <f>IF(A102="","",SUMIF('Trade Log'!B:B,A102,'Trade Log'!N:N))</f>
        <v/>
      </c>
      <c r="G102" s="42" t="str">
        <f>IF(A102="","",SUM($F$3:F102))</f>
        <v/>
      </c>
    </row>
    <row r="103" spans="1:7" ht="15" customHeight="1" x14ac:dyDescent="0.2">
      <c r="A103" s="71"/>
      <c r="B103" s="40" t="str">
        <f>IF(A103="","",COUNTIF('Trade Log'!B:B,A103))</f>
        <v/>
      </c>
      <c r="C103" s="40" t="str">
        <f>IF(A103="","",COUNTIFS('Trade Log'!B:B,A103,'Trade Log'!Q:Q,"WIN"))</f>
        <v/>
      </c>
      <c r="D103" s="40" t="str">
        <f>IF(A103="","",COUNTIFS('Trade Log'!B:B,A103,'Trade Log'!Q:Q,"LOSS"))</f>
        <v/>
      </c>
      <c r="E103" s="41" t="str">
        <f t="shared" si="1"/>
        <v>-</v>
      </c>
      <c r="F103" s="42" t="str">
        <f>IF(A103="","",SUMIF('Trade Log'!B:B,A103,'Trade Log'!N:N))</f>
        <v/>
      </c>
      <c r="G103" s="42" t="str">
        <f>IF(A103="","",SUM($F$3:F103))</f>
        <v/>
      </c>
    </row>
    <row r="104" spans="1:7" ht="15" customHeight="1" x14ac:dyDescent="0.2">
      <c r="A104" s="71"/>
      <c r="B104" s="40" t="str">
        <f>IF(A104="","",COUNTIF('Trade Log'!B:B,A104))</f>
        <v/>
      </c>
      <c r="C104" s="40" t="str">
        <f>IF(A104="","",COUNTIFS('Trade Log'!B:B,A104,'Trade Log'!Q:Q,"WIN"))</f>
        <v/>
      </c>
      <c r="D104" s="40" t="str">
        <f>IF(A104="","",COUNTIFS('Trade Log'!B:B,A104,'Trade Log'!Q:Q,"LOSS"))</f>
        <v/>
      </c>
      <c r="E104" s="41" t="str">
        <f t="shared" si="1"/>
        <v>-</v>
      </c>
      <c r="F104" s="42" t="str">
        <f>IF(A104="","",SUMIF('Trade Log'!B:B,A104,'Trade Log'!N:N))</f>
        <v/>
      </c>
      <c r="G104" s="42" t="str">
        <f>IF(A104="","",SUM($F$3:F104))</f>
        <v/>
      </c>
    </row>
    <row r="105" spans="1:7" ht="15" customHeight="1" x14ac:dyDescent="0.2">
      <c r="A105" s="71"/>
      <c r="B105" s="40" t="str">
        <f>IF(A105="","",COUNTIF('Trade Log'!B:B,A105))</f>
        <v/>
      </c>
      <c r="C105" s="40" t="str">
        <f>IF(A105="","",COUNTIFS('Trade Log'!B:B,A105,'Trade Log'!Q:Q,"WIN"))</f>
        <v/>
      </c>
      <c r="D105" s="40" t="str">
        <f>IF(A105="","",COUNTIFS('Trade Log'!B:B,A105,'Trade Log'!Q:Q,"LOSS"))</f>
        <v/>
      </c>
      <c r="E105" s="41" t="str">
        <f t="shared" si="1"/>
        <v>-</v>
      </c>
      <c r="F105" s="42" t="str">
        <f>IF(A105="","",SUMIF('Trade Log'!B:B,A105,'Trade Log'!N:N))</f>
        <v/>
      </c>
      <c r="G105" s="42" t="str">
        <f>IF(A105="","",SUM($F$3:F105))</f>
        <v/>
      </c>
    </row>
    <row r="106" spans="1:7" ht="15" customHeight="1" x14ac:dyDescent="0.2">
      <c r="A106" s="71"/>
      <c r="B106" s="40" t="str">
        <f>IF(A106="","",COUNTIF('Trade Log'!B:B,A106))</f>
        <v/>
      </c>
      <c r="C106" s="40" t="str">
        <f>IF(A106="","",COUNTIFS('Trade Log'!B:B,A106,'Trade Log'!Q:Q,"WIN"))</f>
        <v/>
      </c>
      <c r="D106" s="40" t="str">
        <f>IF(A106="","",COUNTIFS('Trade Log'!B:B,A106,'Trade Log'!Q:Q,"LOSS"))</f>
        <v/>
      </c>
      <c r="E106" s="41" t="str">
        <f t="shared" si="1"/>
        <v>-</v>
      </c>
      <c r="F106" s="42" t="str">
        <f>IF(A106="","",SUMIF('Trade Log'!B:B,A106,'Trade Log'!N:N))</f>
        <v/>
      </c>
      <c r="G106" s="42" t="str">
        <f>IF(A106="","",SUM($F$3:F106))</f>
        <v/>
      </c>
    </row>
    <row r="107" spans="1:7" ht="15" customHeight="1" x14ac:dyDescent="0.2">
      <c r="A107" s="71"/>
      <c r="B107" s="40" t="str">
        <f>IF(A107="","",COUNTIF('Trade Log'!B:B,A107))</f>
        <v/>
      </c>
      <c r="C107" s="40" t="str">
        <f>IF(A107="","",COUNTIFS('Trade Log'!B:B,A107,'Trade Log'!Q:Q,"WIN"))</f>
        <v/>
      </c>
      <c r="D107" s="40" t="str">
        <f>IF(A107="","",COUNTIFS('Trade Log'!B:B,A107,'Trade Log'!Q:Q,"LOSS"))</f>
        <v/>
      </c>
      <c r="E107" s="41" t="str">
        <f t="shared" si="1"/>
        <v>-</v>
      </c>
      <c r="F107" s="42" t="str">
        <f>IF(A107="","",SUMIF('Trade Log'!B:B,A107,'Trade Log'!N:N))</f>
        <v/>
      </c>
      <c r="G107" s="42" t="str">
        <f>IF(A107="","",SUM($F$3:F107))</f>
        <v/>
      </c>
    </row>
    <row r="108" spans="1:7" ht="15" customHeight="1" x14ac:dyDescent="0.2">
      <c r="A108" s="71"/>
      <c r="B108" s="40" t="str">
        <f>IF(A108="","",COUNTIF('Trade Log'!B:B,A108))</f>
        <v/>
      </c>
      <c r="C108" s="40" t="str">
        <f>IF(A108="","",COUNTIFS('Trade Log'!B:B,A108,'Trade Log'!Q:Q,"WIN"))</f>
        <v/>
      </c>
      <c r="D108" s="40" t="str">
        <f>IF(A108="","",COUNTIFS('Trade Log'!B:B,A108,'Trade Log'!Q:Q,"LOSS"))</f>
        <v/>
      </c>
      <c r="E108" s="41" t="str">
        <f t="shared" si="1"/>
        <v>-</v>
      </c>
      <c r="F108" s="42" t="str">
        <f>IF(A108="","",SUMIF('Trade Log'!B:B,A108,'Trade Log'!N:N))</f>
        <v/>
      </c>
      <c r="G108" s="42" t="str">
        <f>IF(A108="","",SUM($F$3:F108))</f>
        <v/>
      </c>
    </row>
    <row r="109" spans="1:7" ht="15" customHeight="1" x14ac:dyDescent="0.2">
      <c r="A109" s="71"/>
      <c r="B109" s="40" t="str">
        <f>IF(A109="","",COUNTIF('Trade Log'!B:B,A109))</f>
        <v/>
      </c>
      <c r="C109" s="40" t="str">
        <f>IF(A109="","",COUNTIFS('Trade Log'!B:B,A109,'Trade Log'!Q:Q,"WIN"))</f>
        <v/>
      </c>
      <c r="D109" s="40" t="str">
        <f>IF(A109="","",COUNTIFS('Trade Log'!B:B,A109,'Trade Log'!Q:Q,"LOSS"))</f>
        <v/>
      </c>
      <c r="E109" s="41" t="str">
        <f t="shared" si="1"/>
        <v>-</v>
      </c>
      <c r="F109" s="42" t="str">
        <f>IF(A109="","",SUMIF('Trade Log'!B:B,A109,'Trade Log'!N:N))</f>
        <v/>
      </c>
      <c r="G109" s="42" t="str">
        <f>IF(A109="","",SUM($F$3:F109))</f>
        <v/>
      </c>
    </row>
    <row r="110" spans="1:7" ht="15" customHeight="1" x14ac:dyDescent="0.2">
      <c r="A110" s="71"/>
      <c r="B110" s="40" t="str">
        <f>IF(A110="","",COUNTIF('Trade Log'!B:B,A110))</f>
        <v/>
      </c>
      <c r="C110" s="40" t="str">
        <f>IF(A110="","",COUNTIFS('Trade Log'!B:B,A110,'Trade Log'!Q:Q,"WIN"))</f>
        <v/>
      </c>
      <c r="D110" s="40" t="str">
        <f>IF(A110="","",COUNTIFS('Trade Log'!B:B,A110,'Trade Log'!Q:Q,"LOSS"))</f>
        <v/>
      </c>
      <c r="E110" s="41" t="str">
        <f t="shared" si="1"/>
        <v>-</v>
      </c>
      <c r="F110" s="42" t="str">
        <f>IF(A110="","",SUMIF('Trade Log'!B:B,A110,'Trade Log'!N:N))</f>
        <v/>
      </c>
      <c r="G110" s="42" t="str">
        <f>IF(A110="","",SUM($F$3:F110))</f>
        <v/>
      </c>
    </row>
    <row r="111" spans="1:7" ht="15" customHeight="1" x14ac:dyDescent="0.2">
      <c r="A111" s="71"/>
      <c r="B111" s="40" t="str">
        <f>IF(A111="","",COUNTIF('Trade Log'!B:B,A111))</f>
        <v/>
      </c>
      <c r="C111" s="40" t="str">
        <f>IF(A111="","",COUNTIFS('Trade Log'!B:B,A111,'Trade Log'!Q:Q,"WIN"))</f>
        <v/>
      </c>
      <c r="D111" s="40" t="str">
        <f>IF(A111="","",COUNTIFS('Trade Log'!B:B,A111,'Trade Log'!Q:Q,"LOSS"))</f>
        <v/>
      </c>
      <c r="E111" s="41" t="str">
        <f t="shared" si="1"/>
        <v>-</v>
      </c>
      <c r="F111" s="42" t="str">
        <f>IF(A111="","",SUMIF('Trade Log'!B:B,A111,'Trade Log'!N:N))</f>
        <v/>
      </c>
      <c r="G111" s="42" t="str">
        <f>IF(A111="","",SUM($F$3:F111))</f>
        <v/>
      </c>
    </row>
    <row r="112" spans="1:7" ht="15" customHeight="1" x14ac:dyDescent="0.2">
      <c r="A112" s="71"/>
      <c r="B112" s="40" t="str">
        <f>IF(A112="","",COUNTIF('Trade Log'!B:B,A112))</f>
        <v/>
      </c>
      <c r="C112" s="40" t="str">
        <f>IF(A112="","",COUNTIFS('Trade Log'!B:B,A112,'Trade Log'!Q:Q,"WIN"))</f>
        <v/>
      </c>
      <c r="D112" s="40" t="str">
        <f>IF(A112="","",COUNTIFS('Trade Log'!B:B,A112,'Trade Log'!Q:Q,"LOSS"))</f>
        <v/>
      </c>
      <c r="E112" s="41" t="str">
        <f t="shared" si="1"/>
        <v>-</v>
      </c>
      <c r="F112" s="42" t="str">
        <f>IF(A112="","",SUMIF('Trade Log'!B:B,A112,'Trade Log'!N:N))</f>
        <v/>
      </c>
      <c r="G112" s="42" t="str">
        <f>IF(A112="","",SUM($F$3:F112))</f>
        <v/>
      </c>
    </row>
    <row r="113" spans="1:7" ht="15" customHeight="1" x14ac:dyDescent="0.2">
      <c r="A113" s="71"/>
      <c r="B113" s="40" t="str">
        <f>IF(A113="","",COUNTIF('Trade Log'!B:B,A113))</f>
        <v/>
      </c>
      <c r="C113" s="40" t="str">
        <f>IF(A113="","",COUNTIFS('Trade Log'!B:B,A113,'Trade Log'!Q:Q,"WIN"))</f>
        <v/>
      </c>
      <c r="D113" s="40" t="str">
        <f>IF(A113="","",COUNTIFS('Trade Log'!B:B,A113,'Trade Log'!Q:Q,"LOSS"))</f>
        <v/>
      </c>
      <c r="E113" s="41" t="str">
        <f t="shared" si="1"/>
        <v>-</v>
      </c>
      <c r="F113" s="42" t="str">
        <f>IF(A113="","",SUMIF('Trade Log'!B:B,A113,'Trade Log'!N:N))</f>
        <v/>
      </c>
      <c r="G113" s="42" t="str">
        <f>IF(A113="","",SUM($F$3:F113))</f>
        <v/>
      </c>
    </row>
    <row r="114" spans="1:7" ht="15" customHeight="1" x14ac:dyDescent="0.2">
      <c r="A114" s="71"/>
      <c r="B114" s="40" t="str">
        <f>IF(A114="","",COUNTIF('Trade Log'!B:B,A114))</f>
        <v/>
      </c>
      <c r="C114" s="40" t="str">
        <f>IF(A114="","",COUNTIFS('Trade Log'!B:B,A114,'Trade Log'!Q:Q,"WIN"))</f>
        <v/>
      </c>
      <c r="D114" s="40" t="str">
        <f>IF(A114="","",COUNTIFS('Trade Log'!B:B,A114,'Trade Log'!Q:Q,"LOSS"))</f>
        <v/>
      </c>
      <c r="E114" s="41" t="str">
        <f t="shared" si="1"/>
        <v>-</v>
      </c>
      <c r="F114" s="42" t="str">
        <f>IF(A114="","",SUMIF('Trade Log'!B:B,A114,'Trade Log'!N:N))</f>
        <v/>
      </c>
      <c r="G114" s="42" t="str">
        <f>IF(A114="","",SUM($F$3:F114))</f>
        <v/>
      </c>
    </row>
    <row r="115" spans="1:7" ht="15" customHeight="1" x14ac:dyDescent="0.2">
      <c r="A115" s="71"/>
      <c r="B115" s="40" t="str">
        <f>IF(A115="","",COUNTIF('Trade Log'!B:B,A115))</f>
        <v/>
      </c>
      <c r="C115" s="40" t="str">
        <f>IF(A115="","",COUNTIFS('Trade Log'!B:B,A115,'Trade Log'!Q:Q,"WIN"))</f>
        <v/>
      </c>
      <c r="D115" s="40" t="str">
        <f>IF(A115="","",COUNTIFS('Trade Log'!B:B,A115,'Trade Log'!Q:Q,"LOSS"))</f>
        <v/>
      </c>
      <c r="E115" s="41" t="str">
        <f t="shared" si="1"/>
        <v>-</v>
      </c>
      <c r="F115" s="42" t="str">
        <f>IF(A115="","",SUMIF('Trade Log'!B:B,A115,'Trade Log'!N:N))</f>
        <v/>
      </c>
      <c r="G115" s="42" t="str">
        <f>IF(A115="","",SUM($F$3:F115))</f>
        <v/>
      </c>
    </row>
    <row r="116" spans="1:7" ht="15" customHeight="1" x14ac:dyDescent="0.2">
      <c r="A116" s="71"/>
      <c r="B116" s="40" t="str">
        <f>IF(A116="","",COUNTIF('Trade Log'!B:B,A116))</f>
        <v/>
      </c>
      <c r="C116" s="40" t="str">
        <f>IF(A116="","",COUNTIFS('Trade Log'!B:B,A116,'Trade Log'!Q:Q,"WIN"))</f>
        <v/>
      </c>
      <c r="D116" s="40" t="str">
        <f>IF(A116="","",COUNTIFS('Trade Log'!B:B,A116,'Trade Log'!Q:Q,"LOSS"))</f>
        <v/>
      </c>
      <c r="E116" s="41" t="str">
        <f t="shared" si="1"/>
        <v>-</v>
      </c>
      <c r="F116" s="42" t="str">
        <f>IF(A116="","",SUMIF('Trade Log'!B:B,A116,'Trade Log'!N:N))</f>
        <v/>
      </c>
      <c r="G116" s="42" t="str">
        <f>IF(A116="","",SUM($F$3:F116))</f>
        <v/>
      </c>
    </row>
    <row r="117" spans="1:7" ht="15" customHeight="1" x14ac:dyDescent="0.2">
      <c r="A117" s="71"/>
      <c r="B117" s="40" t="str">
        <f>IF(A117="","",COUNTIF('Trade Log'!B:B,A117))</f>
        <v/>
      </c>
      <c r="C117" s="40" t="str">
        <f>IF(A117="","",COUNTIFS('Trade Log'!B:B,A117,'Trade Log'!Q:Q,"WIN"))</f>
        <v/>
      </c>
      <c r="D117" s="40" t="str">
        <f>IF(A117="","",COUNTIFS('Trade Log'!B:B,A117,'Trade Log'!Q:Q,"LOSS"))</f>
        <v/>
      </c>
      <c r="E117" s="41" t="str">
        <f t="shared" si="1"/>
        <v>-</v>
      </c>
      <c r="F117" s="42" t="str">
        <f>IF(A117="","",SUMIF('Trade Log'!B:B,A117,'Trade Log'!N:N))</f>
        <v/>
      </c>
      <c r="G117" s="42" t="str">
        <f>IF(A117="","",SUM($F$3:F117))</f>
        <v/>
      </c>
    </row>
    <row r="118" spans="1:7" ht="15" customHeight="1" x14ac:dyDescent="0.2">
      <c r="A118" s="71"/>
      <c r="B118" s="40" t="str">
        <f>IF(A118="","",COUNTIF('Trade Log'!B:B,A118))</f>
        <v/>
      </c>
      <c r="C118" s="40" t="str">
        <f>IF(A118="","",COUNTIFS('Trade Log'!B:B,A118,'Trade Log'!Q:Q,"WIN"))</f>
        <v/>
      </c>
      <c r="D118" s="40" t="str">
        <f>IF(A118="","",COUNTIFS('Trade Log'!B:B,A118,'Trade Log'!Q:Q,"LOSS"))</f>
        <v/>
      </c>
      <c r="E118" s="41" t="str">
        <f t="shared" si="1"/>
        <v>-</v>
      </c>
      <c r="F118" s="42" t="str">
        <f>IF(A118="","",SUMIF('Trade Log'!B:B,A118,'Trade Log'!N:N))</f>
        <v/>
      </c>
      <c r="G118" s="42" t="str">
        <f>IF(A118="","",SUM($F$3:F118))</f>
        <v/>
      </c>
    </row>
    <row r="119" spans="1:7" ht="15" customHeight="1" x14ac:dyDescent="0.2">
      <c r="A119" s="71"/>
      <c r="B119" s="40" t="str">
        <f>IF(A119="","",COUNTIF('Trade Log'!B:B,A119))</f>
        <v/>
      </c>
      <c r="C119" s="40" t="str">
        <f>IF(A119="","",COUNTIFS('Trade Log'!B:B,A119,'Trade Log'!Q:Q,"WIN"))</f>
        <v/>
      </c>
      <c r="D119" s="40" t="str">
        <f>IF(A119="","",COUNTIFS('Trade Log'!B:B,A119,'Trade Log'!Q:Q,"LOSS"))</f>
        <v/>
      </c>
      <c r="E119" s="41" t="str">
        <f t="shared" si="1"/>
        <v>-</v>
      </c>
      <c r="F119" s="42" t="str">
        <f>IF(A119="","",SUMIF('Trade Log'!B:B,A119,'Trade Log'!N:N))</f>
        <v/>
      </c>
      <c r="G119" s="42" t="str">
        <f>IF(A119="","",SUM($F$3:F119))</f>
        <v/>
      </c>
    </row>
    <row r="120" spans="1:7" ht="15" customHeight="1" x14ac:dyDescent="0.2">
      <c r="A120" s="71"/>
      <c r="B120" s="40" t="str">
        <f>IF(A120="","",COUNTIF('Trade Log'!B:B,A120))</f>
        <v/>
      </c>
      <c r="C120" s="40" t="str">
        <f>IF(A120="","",COUNTIFS('Trade Log'!B:B,A120,'Trade Log'!Q:Q,"WIN"))</f>
        <v/>
      </c>
      <c r="D120" s="40" t="str">
        <f>IF(A120="","",COUNTIFS('Trade Log'!B:B,A120,'Trade Log'!Q:Q,"LOSS"))</f>
        <v/>
      </c>
      <c r="E120" s="41" t="str">
        <f t="shared" si="1"/>
        <v>-</v>
      </c>
      <c r="F120" s="42" t="str">
        <f>IF(A120="","",SUMIF('Trade Log'!B:B,A120,'Trade Log'!N:N))</f>
        <v/>
      </c>
      <c r="G120" s="42" t="str">
        <f>IF(A120="","",SUM($F$3:F120))</f>
        <v/>
      </c>
    </row>
    <row r="121" spans="1:7" ht="15" customHeight="1" x14ac:dyDescent="0.2">
      <c r="A121" s="71"/>
      <c r="B121" s="40" t="str">
        <f>IF(A121="","",COUNTIF('Trade Log'!B:B,A121))</f>
        <v/>
      </c>
      <c r="C121" s="40" t="str">
        <f>IF(A121="","",COUNTIFS('Trade Log'!B:B,A121,'Trade Log'!Q:Q,"WIN"))</f>
        <v/>
      </c>
      <c r="D121" s="40" t="str">
        <f>IF(A121="","",COUNTIFS('Trade Log'!B:B,A121,'Trade Log'!Q:Q,"LOSS"))</f>
        <v/>
      </c>
      <c r="E121" s="41" t="str">
        <f t="shared" si="1"/>
        <v>-</v>
      </c>
      <c r="F121" s="42" t="str">
        <f>IF(A121="","",SUMIF('Trade Log'!B:B,A121,'Trade Log'!N:N))</f>
        <v/>
      </c>
      <c r="G121" s="42" t="str">
        <f>IF(A121="","",SUM($F$3:F121))</f>
        <v/>
      </c>
    </row>
    <row r="122" spans="1:7" ht="15" customHeight="1" x14ac:dyDescent="0.2">
      <c r="A122" s="71"/>
      <c r="B122" s="40" t="str">
        <f>IF(A122="","",COUNTIF('Trade Log'!B:B,A122))</f>
        <v/>
      </c>
      <c r="C122" s="40" t="str">
        <f>IF(A122="","",COUNTIFS('Trade Log'!B:B,A122,'Trade Log'!Q:Q,"WIN"))</f>
        <v/>
      </c>
      <c r="D122" s="40" t="str">
        <f>IF(A122="","",COUNTIFS('Trade Log'!B:B,A122,'Trade Log'!Q:Q,"LOSS"))</f>
        <v/>
      </c>
      <c r="E122" s="41" t="str">
        <f t="shared" si="1"/>
        <v>-</v>
      </c>
      <c r="F122" s="42" t="str">
        <f>IF(A122="","",SUMIF('Trade Log'!B:B,A122,'Trade Log'!N:N))</f>
        <v/>
      </c>
      <c r="G122" s="42" t="str">
        <f>IF(A122="","",SUM($F$3:F122))</f>
        <v/>
      </c>
    </row>
    <row r="123" spans="1:7" ht="15" customHeight="1" x14ac:dyDescent="0.2">
      <c r="A123" s="71"/>
      <c r="B123" s="40" t="str">
        <f>IF(A123="","",COUNTIF('Trade Log'!B:B,A123))</f>
        <v/>
      </c>
      <c r="C123" s="40" t="str">
        <f>IF(A123="","",COUNTIFS('Trade Log'!B:B,A123,'Trade Log'!Q:Q,"WIN"))</f>
        <v/>
      </c>
      <c r="D123" s="40" t="str">
        <f>IF(A123="","",COUNTIFS('Trade Log'!B:B,A123,'Trade Log'!Q:Q,"LOSS"))</f>
        <v/>
      </c>
      <c r="E123" s="41" t="str">
        <f t="shared" si="1"/>
        <v>-</v>
      </c>
      <c r="F123" s="42" t="str">
        <f>IF(A123="","",SUMIF('Trade Log'!B:B,A123,'Trade Log'!N:N))</f>
        <v/>
      </c>
      <c r="G123" s="42" t="str">
        <f>IF(A123="","",SUM($F$3:F123))</f>
        <v/>
      </c>
    </row>
    <row r="124" spans="1:7" ht="15" customHeight="1" x14ac:dyDescent="0.2">
      <c r="A124" s="71"/>
      <c r="B124" s="40" t="str">
        <f>IF(A124="","",COUNTIF('Trade Log'!B:B,A124))</f>
        <v/>
      </c>
      <c r="C124" s="40" t="str">
        <f>IF(A124="","",COUNTIFS('Trade Log'!B:B,A124,'Trade Log'!Q:Q,"WIN"))</f>
        <v/>
      </c>
      <c r="D124" s="40" t="str">
        <f>IF(A124="","",COUNTIFS('Trade Log'!B:B,A124,'Trade Log'!Q:Q,"LOSS"))</f>
        <v/>
      </c>
      <c r="E124" s="41" t="str">
        <f t="shared" si="1"/>
        <v>-</v>
      </c>
      <c r="F124" s="42" t="str">
        <f>IF(A124="","",SUMIF('Trade Log'!B:B,A124,'Trade Log'!N:N))</f>
        <v/>
      </c>
      <c r="G124" s="42" t="str">
        <f>IF(A124="","",SUM($F$3:F124))</f>
        <v/>
      </c>
    </row>
    <row r="125" spans="1:7" ht="15" customHeight="1" x14ac:dyDescent="0.2">
      <c r="A125" s="71"/>
      <c r="B125" s="40" t="str">
        <f>IF(A125="","",COUNTIF('Trade Log'!B:B,A125))</f>
        <v/>
      </c>
      <c r="C125" s="40" t="str">
        <f>IF(A125="","",COUNTIFS('Trade Log'!B:B,A125,'Trade Log'!Q:Q,"WIN"))</f>
        <v/>
      </c>
      <c r="D125" s="40" t="str">
        <f>IF(A125="","",COUNTIFS('Trade Log'!B:B,A125,'Trade Log'!Q:Q,"LOSS"))</f>
        <v/>
      </c>
      <c r="E125" s="41" t="str">
        <f t="shared" si="1"/>
        <v>-</v>
      </c>
      <c r="F125" s="42" t="str">
        <f>IF(A125="","",SUMIF('Trade Log'!B:B,A125,'Trade Log'!N:N))</f>
        <v/>
      </c>
      <c r="G125" s="42" t="str">
        <f>IF(A125="","",SUM($F$3:F125))</f>
        <v/>
      </c>
    </row>
    <row r="126" spans="1:7" ht="15" customHeight="1" x14ac:dyDescent="0.2">
      <c r="A126" s="71"/>
      <c r="B126" s="40" t="str">
        <f>IF(A126="","",COUNTIF('Trade Log'!B:B,A126))</f>
        <v/>
      </c>
      <c r="C126" s="40" t="str">
        <f>IF(A126="","",COUNTIFS('Trade Log'!B:B,A126,'Trade Log'!Q:Q,"WIN"))</f>
        <v/>
      </c>
      <c r="D126" s="40" t="str">
        <f>IF(A126="","",COUNTIFS('Trade Log'!B:B,A126,'Trade Log'!Q:Q,"LOSS"))</f>
        <v/>
      </c>
      <c r="E126" s="41" t="str">
        <f t="shared" si="1"/>
        <v>-</v>
      </c>
      <c r="F126" s="42" t="str">
        <f>IF(A126="","",SUMIF('Trade Log'!B:B,A126,'Trade Log'!N:N))</f>
        <v/>
      </c>
      <c r="G126" s="42" t="str">
        <f>IF(A126="","",SUM($F$3:F126))</f>
        <v/>
      </c>
    </row>
    <row r="127" spans="1:7" ht="15" customHeight="1" x14ac:dyDescent="0.2">
      <c r="A127" s="71"/>
      <c r="B127" s="40" t="str">
        <f>IF(A127="","",COUNTIF('Trade Log'!B:B,A127))</f>
        <v/>
      </c>
      <c r="C127" s="40" t="str">
        <f>IF(A127="","",COUNTIFS('Trade Log'!B:B,A127,'Trade Log'!Q:Q,"WIN"))</f>
        <v/>
      </c>
      <c r="D127" s="40" t="str">
        <f>IF(A127="","",COUNTIFS('Trade Log'!B:B,A127,'Trade Log'!Q:Q,"LOSS"))</f>
        <v/>
      </c>
      <c r="E127" s="41" t="str">
        <f t="shared" si="1"/>
        <v>-</v>
      </c>
      <c r="F127" s="42" t="str">
        <f>IF(A127="","",SUMIF('Trade Log'!B:B,A127,'Trade Log'!N:N))</f>
        <v/>
      </c>
      <c r="G127" s="42" t="str">
        <f>IF(A127="","",SUM($F$3:F127))</f>
        <v/>
      </c>
    </row>
    <row r="128" spans="1:7" ht="15" customHeight="1" x14ac:dyDescent="0.2">
      <c r="A128" s="71"/>
      <c r="B128" s="40" t="str">
        <f>IF(A128="","",COUNTIF('Trade Log'!B:B,A128))</f>
        <v/>
      </c>
      <c r="C128" s="40" t="str">
        <f>IF(A128="","",COUNTIFS('Trade Log'!B:B,A128,'Trade Log'!Q:Q,"WIN"))</f>
        <v/>
      </c>
      <c r="D128" s="40" t="str">
        <f>IF(A128="","",COUNTIFS('Trade Log'!B:B,A128,'Trade Log'!Q:Q,"LOSS"))</f>
        <v/>
      </c>
      <c r="E128" s="41" t="str">
        <f t="shared" si="1"/>
        <v>-</v>
      </c>
      <c r="F128" s="42" t="str">
        <f>IF(A128="","",SUMIF('Trade Log'!B:B,A128,'Trade Log'!N:N))</f>
        <v/>
      </c>
      <c r="G128" s="42" t="str">
        <f>IF(A128="","",SUM($F$3:F128))</f>
        <v/>
      </c>
    </row>
    <row r="129" spans="1:7" ht="15" customHeight="1" x14ac:dyDescent="0.2">
      <c r="A129" s="71"/>
      <c r="B129" s="40" t="str">
        <f>IF(A129="","",COUNTIF('Trade Log'!B:B,A129))</f>
        <v/>
      </c>
      <c r="C129" s="40" t="str">
        <f>IF(A129="","",COUNTIFS('Trade Log'!B:B,A129,'Trade Log'!Q:Q,"WIN"))</f>
        <v/>
      </c>
      <c r="D129" s="40" t="str">
        <f>IF(A129="","",COUNTIFS('Trade Log'!B:B,A129,'Trade Log'!Q:Q,"LOSS"))</f>
        <v/>
      </c>
      <c r="E129" s="41" t="str">
        <f t="shared" si="1"/>
        <v>-</v>
      </c>
      <c r="F129" s="42" t="str">
        <f>IF(A129="","",SUMIF('Trade Log'!B:B,A129,'Trade Log'!N:N))</f>
        <v/>
      </c>
      <c r="G129" s="42" t="str">
        <f>IF(A129="","",SUM($F$3:F129))</f>
        <v/>
      </c>
    </row>
    <row r="130" spans="1:7" ht="15" customHeight="1" x14ac:dyDescent="0.2">
      <c r="A130" s="71"/>
      <c r="B130" s="40" t="str">
        <f>IF(A130="","",COUNTIF('Trade Log'!B:B,A130))</f>
        <v/>
      </c>
      <c r="C130" s="40" t="str">
        <f>IF(A130="","",COUNTIFS('Trade Log'!B:B,A130,'Trade Log'!Q:Q,"WIN"))</f>
        <v/>
      </c>
      <c r="D130" s="40" t="str">
        <f>IF(A130="","",COUNTIFS('Trade Log'!B:B,A130,'Trade Log'!Q:Q,"LOSS"))</f>
        <v/>
      </c>
      <c r="E130" s="41" t="str">
        <f t="shared" si="1"/>
        <v>-</v>
      </c>
      <c r="F130" s="42" t="str">
        <f>IF(A130="","",SUMIF('Trade Log'!B:B,A130,'Trade Log'!N:N))</f>
        <v/>
      </c>
      <c r="G130" s="42" t="str">
        <f>IF(A130="","",SUM($F$3:F130))</f>
        <v/>
      </c>
    </row>
    <row r="131" spans="1:7" ht="15" customHeight="1" x14ac:dyDescent="0.2">
      <c r="A131" s="71"/>
      <c r="B131" s="40" t="str">
        <f>IF(A131="","",COUNTIF('Trade Log'!B:B,A131))</f>
        <v/>
      </c>
      <c r="C131" s="40" t="str">
        <f>IF(A131="","",COUNTIFS('Trade Log'!B:B,A131,'Trade Log'!Q:Q,"WIN"))</f>
        <v/>
      </c>
      <c r="D131" s="40" t="str">
        <f>IF(A131="","",COUNTIFS('Trade Log'!B:B,A131,'Trade Log'!Q:Q,"LOSS"))</f>
        <v/>
      </c>
      <c r="E131" s="41" t="str">
        <f t="shared" ref="E131:E194" si="2">IF(OR(A131="",B131=0),"-",C131/B131)</f>
        <v>-</v>
      </c>
      <c r="F131" s="42" t="str">
        <f>IF(A131="","",SUMIF('Trade Log'!B:B,A131,'Trade Log'!N:N))</f>
        <v/>
      </c>
      <c r="G131" s="42" t="str">
        <f>IF(A131="","",SUM($F$3:F131))</f>
        <v/>
      </c>
    </row>
    <row r="132" spans="1:7" ht="15" customHeight="1" x14ac:dyDescent="0.2">
      <c r="A132" s="71"/>
      <c r="B132" s="40" t="str">
        <f>IF(A132="","",COUNTIF('Trade Log'!B:B,A132))</f>
        <v/>
      </c>
      <c r="C132" s="40" t="str">
        <f>IF(A132="","",COUNTIFS('Trade Log'!B:B,A132,'Trade Log'!Q:Q,"WIN"))</f>
        <v/>
      </c>
      <c r="D132" s="40" t="str">
        <f>IF(A132="","",COUNTIFS('Trade Log'!B:B,A132,'Trade Log'!Q:Q,"LOSS"))</f>
        <v/>
      </c>
      <c r="E132" s="41" t="str">
        <f t="shared" si="2"/>
        <v>-</v>
      </c>
      <c r="F132" s="42" t="str">
        <f>IF(A132="","",SUMIF('Trade Log'!B:B,A132,'Trade Log'!N:N))</f>
        <v/>
      </c>
      <c r="G132" s="42" t="str">
        <f>IF(A132="","",SUM($F$3:F132))</f>
        <v/>
      </c>
    </row>
    <row r="133" spans="1:7" ht="15" customHeight="1" x14ac:dyDescent="0.2">
      <c r="A133" s="71"/>
      <c r="B133" s="40" t="str">
        <f>IF(A133="","",COUNTIF('Trade Log'!B:B,A133))</f>
        <v/>
      </c>
      <c r="C133" s="40" t="str">
        <f>IF(A133="","",COUNTIFS('Trade Log'!B:B,A133,'Trade Log'!Q:Q,"WIN"))</f>
        <v/>
      </c>
      <c r="D133" s="40" t="str">
        <f>IF(A133="","",COUNTIFS('Trade Log'!B:B,A133,'Trade Log'!Q:Q,"LOSS"))</f>
        <v/>
      </c>
      <c r="E133" s="41" t="str">
        <f t="shared" si="2"/>
        <v>-</v>
      </c>
      <c r="F133" s="42" t="str">
        <f>IF(A133="","",SUMIF('Trade Log'!B:B,A133,'Trade Log'!N:N))</f>
        <v/>
      </c>
      <c r="G133" s="42" t="str">
        <f>IF(A133="","",SUM($F$3:F133))</f>
        <v/>
      </c>
    </row>
    <row r="134" spans="1:7" ht="15" customHeight="1" x14ac:dyDescent="0.2">
      <c r="A134" s="71"/>
      <c r="B134" s="40" t="str">
        <f>IF(A134="","",COUNTIF('Trade Log'!B:B,A134))</f>
        <v/>
      </c>
      <c r="C134" s="40" t="str">
        <f>IF(A134="","",COUNTIFS('Trade Log'!B:B,A134,'Trade Log'!Q:Q,"WIN"))</f>
        <v/>
      </c>
      <c r="D134" s="40" t="str">
        <f>IF(A134="","",COUNTIFS('Trade Log'!B:B,A134,'Trade Log'!Q:Q,"LOSS"))</f>
        <v/>
      </c>
      <c r="E134" s="41" t="str">
        <f t="shared" si="2"/>
        <v>-</v>
      </c>
      <c r="F134" s="42" t="str">
        <f>IF(A134="","",SUMIF('Trade Log'!B:B,A134,'Trade Log'!N:N))</f>
        <v/>
      </c>
      <c r="G134" s="42" t="str">
        <f>IF(A134="","",SUM($F$3:F134))</f>
        <v/>
      </c>
    </row>
    <row r="135" spans="1:7" ht="15" customHeight="1" x14ac:dyDescent="0.2">
      <c r="A135" s="71"/>
      <c r="B135" s="40" t="str">
        <f>IF(A135="","",COUNTIF('Trade Log'!B:B,A135))</f>
        <v/>
      </c>
      <c r="C135" s="40" t="str">
        <f>IF(A135="","",COUNTIFS('Trade Log'!B:B,A135,'Trade Log'!Q:Q,"WIN"))</f>
        <v/>
      </c>
      <c r="D135" s="40" t="str">
        <f>IF(A135="","",COUNTIFS('Trade Log'!B:B,A135,'Trade Log'!Q:Q,"LOSS"))</f>
        <v/>
      </c>
      <c r="E135" s="41" t="str">
        <f t="shared" si="2"/>
        <v>-</v>
      </c>
      <c r="F135" s="42" t="str">
        <f>IF(A135="","",SUMIF('Trade Log'!B:B,A135,'Trade Log'!N:N))</f>
        <v/>
      </c>
      <c r="G135" s="42" t="str">
        <f>IF(A135="","",SUM($F$3:F135))</f>
        <v/>
      </c>
    </row>
    <row r="136" spans="1:7" ht="15" customHeight="1" x14ac:dyDescent="0.2">
      <c r="A136" s="71"/>
      <c r="B136" s="40" t="str">
        <f>IF(A136="","",COUNTIF('Trade Log'!B:B,A136))</f>
        <v/>
      </c>
      <c r="C136" s="40" t="str">
        <f>IF(A136="","",COUNTIFS('Trade Log'!B:B,A136,'Trade Log'!Q:Q,"WIN"))</f>
        <v/>
      </c>
      <c r="D136" s="40" t="str">
        <f>IF(A136="","",COUNTIFS('Trade Log'!B:B,A136,'Trade Log'!Q:Q,"LOSS"))</f>
        <v/>
      </c>
      <c r="E136" s="41" t="str">
        <f t="shared" si="2"/>
        <v>-</v>
      </c>
      <c r="F136" s="42" t="str">
        <f>IF(A136="","",SUMIF('Trade Log'!B:B,A136,'Trade Log'!N:N))</f>
        <v/>
      </c>
      <c r="G136" s="42" t="str">
        <f>IF(A136="","",SUM($F$3:F136))</f>
        <v/>
      </c>
    </row>
    <row r="137" spans="1:7" ht="15" customHeight="1" x14ac:dyDescent="0.2">
      <c r="A137" s="71"/>
      <c r="B137" s="40" t="str">
        <f>IF(A137="","",COUNTIF('Trade Log'!B:B,A137))</f>
        <v/>
      </c>
      <c r="C137" s="40" t="str">
        <f>IF(A137="","",COUNTIFS('Trade Log'!B:B,A137,'Trade Log'!Q:Q,"WIN"))</f>
        <v/>
      </c>
      <c r="D137" s="40" t="str">
        <f>IF(A137="","",COUNTIFS('Trade Log'!B:B,A137,'Trade Log'!Q:Q,"LOSS"))</f>
        <v/>
      </c>
      <c r="E137" s="41" t="str">
        <f t="shared" si="2"/>
        <v>-</v>
      </c>
      <c r="F137" s="42" t="str">
        <f>IF(A137="","",SUMIF('Trade Log'!B:B,A137,'Trade Log'!N:N))</f>
        <v/>
      </c>
      <c r="G137" s="42" t="str">
        <f>IF(A137="","",SUM($F$3:F137))</f>
        <v/>
      </c>
    </row>
    <row r="138" spans="1:7" ht="15" customHeight="1" x14ac:dyDescent="0.2">
      <c r="A138" s="71"/>
      <c r="B138" s="40" t="str">
        <f>IF(A138="","",COUNTIF('Trade Log'!B:B,A138))</f>
        <v/>
      </c>
      <c r="C138" s="40" t="str">
        <f>IF(A138="","",COUNTIFS('Trade Log'!B:B,A138,'Trade Log'!Q:Q,"WIN"))</f>
        <v/>
      </c>
      <c r="D138" s="40" t="str">
        <f>IF(A138="","",COUNTIFS('Trade Log'!B:B,A138,'Trade Log'!Q:Q,"LOSS"))</f>
        <v/>
      </c>
      <c r="E138" s="41" t="str">
        <f t="shared" si="2"/>
        <v>-</v>
      </c>
      <c r="F138" s="42" t="str">
        <f>IF(A138="","",SUMIF('Trade Log'!B:B,A138,'Trade Log'!N:N))</f>
        <v/>
      </c>
      <c r="G138" s="42" t="str">
        <f>IF(A138="","",SUM($F$3:F138))</f>
        <v/>
      </c>
    </row>
    <row r="139" spans="1:7" ht="15" customHeight="1" x14ac:dyDescent="0.2">
      <c r="A139" s="71"/>
      <c r="B139" s="40" t="str">
        <f>IF(A139="","",COUNTIF('Trade Log'!B:B,A139))</f>
        <v/>
      </c>
      <c r="C139" s="40" t="str">
        <f>IF(A139="","",COUNTIFS('Trade Log'!B:B,A139,'Trade Log'!Q:Q,"WIN"))</f>
        <v/>
      </c>
      <c r="D139" s="40" t="str">
        <f>IF(A139="","",COUNTIFS('Trade Log'!B:B,A139,'Trade Log'!Q:Q,"LOSS"))</f>
        <v/>
      </c>
      <c r="E139" s="41" t="str">
        <f t="shared" si="2"/>
        <v>-</v>
      </c>
      <c r="F139" s="42" t="str">
        <f>IF(A139="","",SUMIF('Trade Log'!B:B,A139,'Trade Log'!N:N))</f>
        <v/>
      </c>
      <c r="G139" s="42" t="str">
        <f>IF(A139="","",SUM($F$3:F139))</f>
        <v/>
      </c>
    </row>
    <row r="140" spans="1:7" ht="15" customHeight="1" x14ac:dyDescent="0.2">
      <c r="A140" s="71"/>
      <c r="B140" s="40" t="str">
        <f>IF(A140="","",COUNTIF('Trade Log'!B:B,A140))</f>
        <v/>
      </c>
      <c r="C140" s="40" t="str">
        <f>IF(A140="","",COUNTIFS('Trade Log'!B:B,A140,'Trade Log'!Q:Q,"WIN"))</f>
        <v/>
      </c>
      <c r="D140" s="40" t="str">
        <f>IF(A140="","",COUNTIFS('Trade Log'!B:B,A140,'Trade Log'!Q:Q,"LOSS"))</f>
        <v/>
      </c>
      <c r="E140" s="41" t="str">
        <f t="shared" si="2"/>
        <v>-</v>
      </c>
      <c r="F140" s="42" t="str">
        <f>IF(A140="","",SUMIF('Trade Log'!B:B,A140,'Trade Log'!N:N))</f>
        <v/>
      </c>
      <c r="G140" s="42" t="str">
        <f>IF(A140="","",SUM($F$3:F140))</f>
        <v/>
      </c>
    </row>
    <row r="141" spans="1:7" ht="15" customHeight="1" x14ac:dyDescent="0.2">
      <c r="A141" s="71"/>
      <c r="B141" s="40" t="str">
        <f>IF(A141="","",COUNTIF('Trade Log'!B:B,A141))</f>
        <v/>
      </c>
      <c r="C141" s="40" t="str">
        <f>IF(A141="","",COUNTIFS('Trade Log'!B:B,A141,'Trade Log'!Q:Q,"WIN"))</f>
        <v/>
      </c>
      <c r="D141" s="40" t="str">
        <f>IF(A141="","",COUNTIFS('Trade Log'!B:B,A141,'Trade Log'!Q:Q,"LOSS"))</f>
        <v/>
      </c>
      <c r="E141" s="41" t="str">
        <f t="shared" si="2"/>
        <v>-</v>
      </c>
      <c r="F141" s="42" t="str">
        <f>IF(A141="","",SUMIF('Trade Log'!B:B,A141,'Trade Log'!N:N))</f>
        <v/>
      </c>
      <c r="G141" s="42" t="str">
        <f>IF(A141="","",SUM($F$3:F141))</f>
        <v/>
      </c>
    </row>
    <row r="142" spans="1:7" ht="15" customHeight="1" x14ac:dyDescent="0.2">
      <c r="A142" s="71"/>
      <c r="B142" s="40" t="str">
        <f>IF(A142="","",COUNTIF('Trade Log'!B:B,A142))</f>
        <v/>
      </c>
      <c r="C142" s="40" t="str">
        <f>IF(A142="","",COUNTIFS('Trade Log'!B:B,A142,'Trade Log'!Q:Q,"WIN"))</f>
        <v/>
      </c>
      <c r="D142" s="40" t="str">
        <f>IF(A142="","",COUNTIFS('Trade Log'!B:B,A142,'Trade Log'!Q:Q,"LOSS"))</f>
        <v/>
      </c>
      <c r="E142" s="41" t="str">
        <f t="shared" si="2"/>
        <v>-</v>
      </c>
      <c r="F142" s="42" t="str">
        <f>IF(A142="","",SUMIF('Trade Log'!B:B,A142,'Trade Log'!N:N))</f>
        <v/>
      </c>
      <c r="G142" s="42" t="str">
        <f>IF(A142="","",SUM($F$3:F142))</f>
        <v/>
      </c>
    </row>
    <row r="143" spans="1:7" ht="15" customHeight="1" x14ac:dyDescent="0.2">
      <c r="A143" s="71"/>
      <c r="B143" s="40" t="str">
        <f>IF(A143="","",COUNTIF('Trade Log'!B:B,A143))</f>
        <v/>
      </c>
      <c r="C143" s="40" t="str">
        <f>IF(A143="","",COUNTIFS('Trade Log'!B:B,A143,'Trade Log'!Q:Q,"WIN"))</f>
        <v/>
      </c>
      <c r="D143" s="40" t="str">
        <f>IF(A143="","",COUNTIFS('Trade Log'!B:B,A143,'Trade Log'!Q:Q,"LOSS"))</f>
        <v/>
      </c>
      <c r="E143" s="41" t="str">
        <f t="shared" si="2"/>
        <v>-</v>
      </c>
      <c r="F143" s="42" t="str">
        <f>IF(A143="","",SUMIF('Trade Log'!B:B,A143,'Trade Log'!N:N))</f>
        <v/>
      </c>
      <c r="G143" s="42" t="str">
        <f>IF(A143="","",SUM($F$3:F143))</f>
        <v/>
      </c>
    </row>
    <row r="144" spans="1:7" ht="15" customHeight="1" x14ac:dyDescent="0.2">
      <c r="A144" s="71"/>
      <c r="B144" s="40" t="str">
        <f>IF(A144="","",COUNTIF('Trade Log'!B:B,A144))</f>
        <v/>
      </c>
      <c r="C144" s="40" t="str">
        <f>IF(A144="","",COUNTIFS('Trade Log'!B:B,A144,'Trade Log'!Q:Q,"WIN"))</f>
        <v/>
      </c>
      <c r="D144" s="40" t="str">
        <f>IF(A144="","",COUNTIFS('Trade Log'!B:B,A144,'Trade Log'!Q:Q,"LOSS"))</f>
        <v/>
      </c>
      <c r="E144" s="41" t="str">
        <f t="shared" si="2"/>
        <v>-</v>
      </c>
      <c r="F144" s="42" t="str">
        <f>IF(A144="","",SUMIF('Trade Log'!B:B,A144,'Trade Log'!N:N))</f>
        <v/>
      </c>
      <c r="G144" s="42" t="str">
        <f>IF(A144="","",SUM($F$3:F144))</f>
        <v/>
      </c>
    </row>
    <row r="145" spans="1:7" ht="15" customHeight="1" x14ac:dyDescent="0.2">
      <c r="A145" s="71"/>
      <c r="B145" s="40" t="str">
        <f>IF(A145="","",COUNTIF('Trade Log'!B:B,A145))</f>
        <v/>
      </c>
      <c r="C145" s="40" t="str">
        <f>IF(A145="","",COUNTIFS('Trade Log'!B:B,A145,'Trade Log'!Q:Q,"WIN"))</f>
        <v/>
      </c>
      <c r="D145" s="40" t="str">
        <f>IF(A145="","",COUNTIFS('Trade Log'!B:B,A145,'Trade Log'!Q:Q,"LOSS"))</f>
        <v/>
      </c>
      <c r="E145" s="41" t="str">
        <f t="shared" si="2"/>
        <v>-</v>
      </c>
      <c r="F145" s="42" t="str">
        <f>IF(A145="","",SUMIF('Trade Log'!B:B,A145,'Trade Log'!N:N))</f>
        <v/>
      </c>
      <c r="G145" s="42" t="str">
        <f>IF(A145="","",SUM($F$3:F145))</f>
        <v/>
      </c>
    </row>
    <row r="146" spans="1:7" ht="15" customHeight="1" x14ac:dyDescent="0.2">
      <c r="A146" s="71"/>
      <c r="B146" s="40" t="str">
        <f>IF(A146="","",COUNTIF('Trade Log'!B:B,A146))</f>
        <v/>
      </c>
      <c r="C146" s="40" t="str">
        <f>IF(A146="","",COUNTIFS('Trade Log'!B:B,A146,'Trade Log'!Q:Q,"WIN"))</f>
        <v/>
      </c>
      <c r="D146" s="40" t="str">
        <f>IF(A146="","",COUNTIFS('Trade Log'!B:B,A146,'Trade Log'!Q:Q,"LOSS"))</f>
        <v/>
      </c>
      <c r="E146" s="41" t="str">
        <f t="shared" si="2"/>
        <v>-</v>
      </c>
      <c r="F146" s="42" t="str">
        <f>IF(A146="","",SUMIF('Trade Log'!B:B,A146,'Trade Log'!N:N))</f>
        <v/>
      </c>
      <c r="G146" s="42" t="str">
        <f>IF(A146="","",SUM($F$3:F146))</f>
        <v/>
      </c>
    </row>
    <row r="147" spans="1:7" ht="15" customHeight="1" x14ac:dyDescent="0.2">
      <c r="A147" s="71"/>
      <c r="B147" s="40" t="str">
        <f>IF(A147="","",COUNTIF('Trade Log'!B:B,A147))</f>
        <v/>
      </c>
      <c r="C147" s="40" t="str">
        <f>IF(A147="","",COUNTIFS('Trade Log'!B:B,A147,'Trade Log'!Q:Q,"WIN"))</f>
        <v/>
      </c>
      <c r="D147" s="40" t="str">
        <f>IF(A147="","",COUNTIFS('Trade Log'!B:B,A147,'Trade Log'!Q:Q,"LOSS"))</f>
        <v/>
      </c>
      <c r="E147" s="41" t="str">
        <f t="shared" si="2"/>
        <v>-</v>
      </c>
      <c r="F147" s="42" t="str">
        <f>IF(A147="","",SUMIF('Trade Log'!B:B,A147,'Trade Log'!N:N))</f>
        <v/>
      </c>
      <c r="G147" s="42" t="str">
        <f>IF(A147="","",SUM($F$3:F147))</f>
        <v/>
      </c>
    </row>
    <row r="148" spans="1:7" ht="15" customHeight="1" x14ac:dyDescent="0.2">
      <c r="A148" s="71"/>
      <c r="B148" s="40" t="str">
        <f>IF(A148="","",COUNTIF('Trade Log'!B:B,A148))</f>
        <v/>
      </c>
      <c r="C148" s="40" t="str">
        <f>IF(A148="","",COUNTIFS('Trade Log'!B:B,A148,'Trade Log'!Q:Q,"WIN"))</f>
        <v/>
      </c>
      <c r="D148" s="40" t="str">
        <f>IF(A148="","",COUNTIFS('Trade Log'!B:B,A148,'Trade Log'!Q:Q,"LOSS"))</f>
        <v/>
      </c>
      <c r="E148" s="41" t="str">
        <f t="shared" si="2"/>
        <v>-</v>
      </c>
      <c r="F148" s="42" t="str">
        <f>IF(A148="","",SUMIF('Trade Log'!B:B,A148,'Trade Log'!N:N))</f>
        <v/>
      </c>
      <c r="G148" s="42" t="str">
        <f>IF(A148="","",SUM($F$3:F148))</f>
        <v/>
      </c>
    </row>
    <row r="149" spans="1:7" ht="15" customHeight="1" x14ac:dyDescent="0.2">
      <c r="A149" s="71"/>
      <c r="B149" s="40" t="str">
        <f>IF(A149="","",COUNTIF('Trade Log'!B:B,A149))</f>
        <v/>
      </c>
      <c r="C149" s="40" t="str">
        <f>IF(A149="","",COUNTIFS('Trade Log'!B:B,A149,'Trade Log'!Q:Q,"WIN"))</f>
        <v/>
      </c>
      <c r="D149" s="40" t="str">
        <f>IF(A149="","",COUNTIFS('Trade Log'!B:B,A149,'Trade Log'!Q:Q,"LOSS"))</f>
        <v/>
      </c>
      <c r="E149" s="41" t="str">
        <f t="shared" si="2"/>
        <v>-</v>
      </c>
      <c r="F149" s="42" t="str">
        <f>IF(A149="","",SUMIF('Trade Log'!B:B,A149,'Trade Log'!N:N))</f>
        <v/>
      </c>
      <c r="G149" s="42" t="str">
        <f>IF(A149="","",SUM($F$3:F149))</f>
        <v/>
      </c>
    </row>
    <row r="150" spans="1:7" ht="15" customHeight="1" x14ac:dyDescent="0.2">
      <c r="A150" s="71"/>
      <c r="B150" s="40" t="str">
        <f>IF(A150="","",COUNTIF('Trade Log'!B:B,A150))</f>
        <v/>
      </c>
      <c r="C150" s="40" t="str">
        <f>IF(A150="","",COUNTIFS('Trade Log'!B:B,A150,'Trade Log'!Q:Q,"WIN"))</f>
        <v/>
      </c>
      <c r="D150" s="40" t="str">
        <f>IF(A150="","",COUNTIFS('Trade Log'!B:B,A150,'Trade Log'!Q:Q,"LOSS"))</f>
        <v/>
      </c>
      <c r="E150" s="41" t="str">
        <f t="shared" si="2"/>
        <v>-</v>
      </c>
      <c r="F150" s="42" t="str">
        <f>IF(A150="","",SUMIF('Trade Log'!B:B,A150,'Trade Log'!N:N))</f>
        <v/>
      </c>
      <c r="G150" s="42" t="str">
        <f>IF(A150="","",SUM($F$3:F150))</f>
        <v/>
      </c>
    </row>
    <row r="151" spans="1:7" ht="15" customHeight="1" x14ac:dyDescent="0.2">
      <c r="A151" s="71"/>
      <c r="B151" s="40" t="str">
        <f>IF(A151="","",COUNTIF('Trade Log'!B:B,A151))</f>
        <v/>
      </c>
      <c r="C151" s="40" t="str">
        <f>IF(A151="","",COUNTIFS('Trade Log'!B:B,A151,'Trade Log'!Q:Q,"WIN"))</f>
        <v/>
      </c>
      <c r="D151" s="40" t="str">
        <f>IF(A151="","",COUNTIFS('Trade Log'!B:B,A151,'Trade Log'!Q:Q,"LOSS"))</f>
        <v/>
      </c>
      <c r="E151" s="41" t="str">
        <f t="shared" si="2"/>
        <v>-</v>
      </c>
      <c r="F151" s="42" t="str">
        <f>IF(A151="","",SUMIF('Trade Log'!B:B,A151,'Trade Log'!N:N))</f>
        <v/>
      </c>
      <c r="G151" s="42" t="str">
        <f>IF(A151="","",SUM($F$3:F151))</f>
        <v/>
      </c>
    </row>
    <row r="152" spans="1:7" ht="15" customHeight="1" x14ac:dyDescent="0.2">
      <c r="A152" s="71"/>
      <c r="B152" s="40" t="str">
        <f>IF(A152="","",COUNTIF('Trade Log'!B:B,A152))</f>
        <v/>
      </c>
      <c r="C152" s="40" t="str">
        <f>IF(A152="","",COUNTIFS('Trade Log'!B:B,A152,'Trade Log'!Q:Q,"WIN"))</f>
        <v/>
      </c>
      <c r="D152" s="40" t="str">
        <f>IF(A152="","",COUNTIFS('Trade Log'!B:B,A152,'Trade Log'!Q:Q,"LOSS"))</f>
        <v/>
      </c>
      <c r="E152" s="41" t="str">
        <f t="shared" si="2"/>
        <v>-</v>
      </c>
      <c r="F152" s="42" t="str">
        <f>IF(A152="","",SUMIF('Trade Log'!B:B,A152,'Trade Log'!N:N))</f>
        <v/>
      </c>
      <c r="G152" s="42" t="str">
        <f>IF(A152="","",SUM($F$3:F152))</f>
        <v/>
      </c>
    </row>
    <row r="153" spans="1:7" ht="15" customHeight="1" x14ac:dyDescent="0.2">
      <c r="A153" s="71"/>
      <c r="B153" s="40" t="str">
        <f>IF(A153="","",COUNTIF('Trade Log'!B:B,A153))</f>
        <v/>
      </c>
      <c r="C153" s="40" t="str">
        <f>IF(A153="","",COUNTIFS('Trade Log'!B:B,A153,'Trade Log'!Q:Q,"WIN"))</f>
        <v/>
      </c>
      <c r="D153" s="40" t="str">
        <f>IF(A153="","",COUNTIFS('Trade Log'!B:B,A153,'Trade Log'!Q:Q,"LOSS"))</f>
        <v/>
      </c>
      <c r="E153" s="41" t="str">
        <f t="shared" si="2"/>
        <v>-</v>
      </c>
      <c r="F153" s="42" t="str">
        <f>IF(A153="","",SUMIF('Trade Log'!B:B,A153,'Trade Log'!N:N))</f>
        <v/>
      </c>
      <c r="G153" s="42" t="str">
        <f>IF(A153="","",SUM($F$3:F153))</f>
        <v/>
      </c>
    </row>
    <row r="154" spans="1:7" ht="15" customHeight="1" x14ac:dyDescent="0.2">
      <c r="A154" s="71"/>
      <c r="B154" s="40" t="str">
        <f>IF(A154="","",COUNTIF('Trade Log'!B:B,A154))</f>
        <v/>
      </c>
      <c r="C154" s="40" t="str">
        <f>IF(A154="","",COUNTIFS('Trade Log'!B:B,A154,'Trade Log'!Q:Q,"WIN"))</f>
        <v/>
      </c>
      <c r="D154" s="40" t="str">
        <f>IF(A154="","",COUNTIFS('Trade Log'!B:B,A154,'Trade Log'!Q:Q,"LOSS"))</f>
        <v/>
      </c>
      <c r="E154" s="41" t="str">
        <f t="shared" si="2"/>
        <v>-</v>
      </c>
      <c r="F154" s="42" t="str">
        <f>IF(A154="","",SUMIF('Trade Log'!B:B,A154,'Trade Log'!N:N))</f>
        <v/>
      </c>
      <c r="G154" s="42" t="str">
        <f>IF(A154="","",SUM($F$3:F154))</f>
        <v/>
      </c>
    </row>
    <row r="155" spans="1:7" ht="15" customHeight="1" x14ac:dyDescent="0.2">
      <c r="A155" s="71"/>
      <c r="B155" s="40" t="str">
        <f>IF(A155="","",COUNTIF('Trade Log'!B:B,A155))</f>
        <v/>
      </c>
      <c r="C155" s="40" t="str">
        <f>IF(A155="","",COUNTIFS('Trade Log'!B:B,A155,'Trade Log'!Q:Q,"WIN"))</f>
        <v/>
      </c>
      <c r="D155" s="40" t="str">
        <f>IF(A155="","",COUNTIFS('Trade Log'!B:B,A155,'Trade Log'!Q:Q,"LOSS"))</f>
        <v/>
      </c>
      <c r="E155" s="41" t="str">
        <f t="shared" si="2"/>
        <v>-</v>
      </c>
      <c r="F155" s="42" t="str">
        <f>IF(A155="","",SUMIF('Trade Log'!B:B,A155,'Trade Log'!N:N))</f>
        <v/>
      </c>
      <c r="G155" s="42" t="str">
        <f>IF(A155="","",SUM($F$3:F155))</f>
        <v/>
      </c>
    </row>
    <row r="156" spans="1:7" ht="15" customHeight="1" x14ac:dyDescent="0.2">
      <c r="A156" s="71"/>
      <c r="B156" s="40" t="str">
        <f>IF(A156="","",COUNTIF('Trade Log'!B:B,A156))</f>
        <v/>
      </c>
      <c r="C156" s="40" t="str">
        <f>IF(A156="","",COUNTIFS('Trade Log'!B:B,A156,'Trade Log'!Q:Q,"WIN"))</f>
        <v/>
      </c>
      <c r="D156" s="40" t="str">
        <f>IF(A156="","",COUNTIFS('Trade Log'!B:B,A156,'Trade Log'!Q:Q,"LOSS"))</f>
        <v/>
      </c>
      <c r="E156" s="41" t="str">
        <f t="shared" si="2"/>
        <v>-</v>
      </c>
      <c r="F156" s="42" t="str">
        <f>IF(A156="","",SUMIF('Trade Log'!B:B,A156,'Trade Log'!N:N))</f>
        <v/>
      </c>
      <c r="G156" s="42" t="str">
        <f>IF(A156="","",SUM($F$3:F156))</f>
        <v/>
      </c>
    </row>
    <row r="157" spans="1:7" ht="15" customHeight="1" x14ac:dyDescent="0.2">
      <c r="A157" s="71"/>
      <c r="B157" s="40" t="str">
        <f>IF(A157="","",COUNTIF('Trade Log'!B:B,A157))</f>
        <v/>
      </c>
      <c r="C157" s="40" t="str">
        <f>IF(A157="","",COUNTIFS('Trade Log'!B:B,A157,'Trade Log'!Q:Q,"WIN"))</f>
        <v/>
      </c>
      <c r="D157" s="40" t="str">
        <f>IF(A157="","",COUNTIFS('Trade Log'!B:B,A157,'Trade Log'!Q:Q,"LOSS"))</f>
        <v/>
      </c>
      <c r="E157" s="41" t="str">
        <f t="shared" si="2"/>
        <v>-</v>
      </c>
      <c r="F157" s="42" t="str">
        <f>IF(A157="","",SUMIF('Trade Log'!B:B,A157,'Trade Log'!N:N))</f>
        <v/>
      </c>
      <c r="G157" s="42" t="str">
        <f>IF(A157="","",SUM($F$3:F157))</f>
        <v/>
      </c>
    </row>
    <row r="158" spans="1:7" ht="15" customHeight="1" x14ac:dyDescent="0.2">
      <c r="A158" s="71"/>
      <c r="B158" s="40" t="str">
        <f>IF(A158="","",COUNTIF('Trade Log'!B:B,A158))</f>
        <v/>
      </c>
      <c r="C158" s="40" t="str">
        <f>IF(A158="","",COUNTIFS('Trade Log'!B:B,A158,'Trade Log'!Q:Q,"WIN"))</f>
        <v/>
      </c>
      <c r="D158" s="40" t="str">
        <f>IF(A158="","",COUNTIFS('Trade Log'!B:B,A158,'Trade Log'!Q:Q,"LOSS"))</f>
        <v/>
      </c>
      <c r="E158" s="41" t="str">
        <f t="shared" si="2"/>
        <v>-</v>
      </c>
      <c r="F158" s="42" t="str">
        <f>IF(A158="","",SUMIF('Trade Log'!B:B,A158,'Trade Log'!N:N))</f>
        <v/>
      </c>
      <c r="G158" s="42" t="str">
        <f>IF(A158="","",SUM($F$3:F158))</f>
        <v/>
      </c>
    </row>
    <row r="159" spans="1:7" ht="15" customHeight="1" x14ac:dyDescent="0.2">
      <c r="A159" s="71"/>
      <c r="B159" s="40" t="str">
        <f>IF(A159="","",COUNTIF('Trade Log'!B:B,A159))</f>
        <v/>
      </c>
      <c r="C159" s="40" t="str">
        <f>IF(A159="","",COUNTIFS('Trade Log'!B:B,A159,'Trade Log'!Q:Q,"WIN"))</f>
        <v/>
      </c>
      <c r="D159" s="40" t="str">
        <f>IF(A159="","",COUNTIFS('Trade Log'!B:B,A159,'Trade Log'!Q:Q,"LOSS"))</f>
        <v/>
      </c>
      <c r="E159" s="41" t="str">
        <f t="shared" si="2"/>
        <v>-</v>
      </c>
      <c r="F159" s="42" t="str">
        <f>IF(A159="","",SUMIF('Trade Log'!B:B,A159,'Trade Log'!N:N))</f>
        <v/>
      </c>
      <c r="G159" s="42" t="str">
        <f>IF(A159="","",SUM($F$3:F159))</f>
        <v/>
      </c>
    </row>
    <row r="160" spans="1:7" ht="15" customHeight="1" x14ac:dyDescent="0.2">
      <c r="A160" s="71"/>
      <c r="B160" s="40" t="str">
        <f>IF(A160="","",COUNTIF('Trade Log'!B:B,A160))</f>
        <v/>
      </c>
      <c r="C160" s="40" t="str">
        <f>IF(A160="","",COUNTIFS('Trade Log'!B:B,A160,'Trade Log'!Q:Q,"WIN"))</f>
        <v/>
      </c>
      <c r="D160" s="40" t="str">
        <f>IF(A160="","",COUNTIFS('Trade Log'!B:B,A160,'Trade Log'!Q:Q,"LOSS"))</f>
        <v/>
      </c>
      <c r="E160" s="41" t="str">
        <f t="shared" si="2"/>
        <v>-</v>
      </c>
      <c r="F160" s="42" t="str">
        <f>IF(A160="","",SUMIF('Trade Log'!B:B,A160,'Trade Log'!N:N))</f>
        <v/>
      </c>
      <c r="G160" s="42" t="str">
        <f>IF(A160="","",SUM($F$3:F160))</f>
        <v/>
      </c>
    </row>
    <row r="161" spans="1:7" ht="15" customHeight="1" x14ac:dyDescent="0.2">
      <c r="A161" s="71"/>
      <c r="B161" s="40" t="str">
        <f>IF(A161="","",COUNTIF('Trade Log'!B:B,A161))</f>
        <v/>
      </c>
      <c r="C161" s="40" t="str">
        <f>IF(A161="","",COUNTIFS('Trade Log'!B:B,A161,'Trade Log'!Q:Q,"WIN"))</f>
        <v/>
      </c>
      <c r="D161" s="40" t="str">
        <f>IF(A161="","",COUNTIFS('Trade Log'!B:B,A161,'Trade Log'!Q:Q,"LOSS"))</f>
        <v/>
      </c>
      <c r="E161" s="41" t="str">
        <f t="shared" si="2"/>
        <v>-</v>
      </c>
      <c r="F161" s="42" t="str">
        <f>IF(A161="","",SUMIF('Trade Log'!B:B,A161,'Trade Log'!N:N))</f>
        <v/>
      </c>
      <c r="G161" s="42" t="str">
        <f>IF(A161="","",SUM($F$3:F161))</f>
        <v/>
      </c>
    </row>
    <row r="162" spans="1:7" ht="15" customHeight="1" x14ac:dyDescent="0.2">
      <c r="A162" s="71"/>
      <c r="B162" s="40" t="str">
        <f>IF(A162="","",COUNTIF('Trade Log'!B:B,A162))</f>
        <v/>
      </c>
      <c r="C162" s="40" t="str">
        <f>IF(A162="","",COUNTIFS('Trade Log'!B:B,A162,'Trade Log'!Q:Q,"WIN"))</f>
        <v/>
      </c>
      <c r="D162" s="40" t="str">
        <f>IF(A162="","",COUNTIFS('Trade Log'!B:B,A162,'Trade Log'!Q:Q,"LOSS"))</f>
        <v/>
      </c>
      <c r="E162" s="41" t="str">
        <f t="shared" si="2"/>
        <v>-</v>
      </c>
      <c r="F162" s="42" t="str">
        <f>IF(A162="","",SUMIF('Trade Log'!B:B,A162,'Trade Log'!N:N))</f>
        <v/>
      </c>
      <c r="G162" s="42" t="str">
        <f>IF(A162="","",SUM($F$3:F162))</f>
        <v/>
      </c>
    </row>
    <row r="163" spans="1:7" ht="15" customHeight="1" x14ac:dyDescent="0.2">
      <c r="A163" s="71"/>
      <c r="B163" s="40" t="str">
        <f>IF(A163="","",COUNTIF('Trade Log'!B:B,A163))</f>
        <v/>
      </c>
      <c r="C163" s="40" t="str">
        <f>IF(A163="","",COUNTIFS('Trade Log'!B:B,A163,'Trade Log'!Q:Q,"WIN"))</f>
        <v/>
      </c>
      <c r="D163" s="40" t="str">
        <f>IF(A163="","",COUNTIFS('Trade Log'!B:B,A163,'Trade Log'!Q:Q,"LOSS"))</f>
        <v/>
      </c>
      <c r="E163" s="41" t="str">
        <f t="shared" si="2"/>
        <v>-</v>
      </c>
      <c r="F163" s="42" t="str">
        <f>IF(A163="","",SUMIF('Trade Log'!B:B,A163,'Trade Log'!N:N))</f>
        <v/>
      </c>
      <c r="G163" s="42" t="str">
        <f>IF(A163="","",SUM($F$3:F163))</f>
        <v/>
      </c>
    </row>
    <row r="164" spans="1:7" ht="15" customHeight="1" x14ac:dyDescent="0.2">
      <c r="A164" s="71"/>
      <c r="B164" s="40" t="str">
        <f>IF(A164="","",COUNTIF('Trade Log'!B:B,A164))</f>
        <v/>
      </c>
      <c r="C164" s="40" t="str">
        <f>IF(A164="","",COUNTIFS('Trade Log'!B:B,A164,'Trade Log'!Q:Q,"WIN"))</f>
        <v/>
      </c>
      <c r="D164" s="40" t="str">
        <f>IF(A164="","",COUNTIFS('Trade Log'!B:B,A164,'Trade Log'!Q:Q,"LOSS"))</f>
        <v/>
      </c>
      <c r="E164" s="41" t="str">
        <f t="shared" si="2"/>
        <v>-</v>
      </c>
      <c r="F164" s="42" t="str">
        <f>IF(A164="","",SUMIF('Trade Log'!B:B,A164,'Trade Log'!N:N))</f>
        <v/>
      </c>
      <c r="G164" s="42" t="str">
        <f>IF(A164="","",SUM($F$3:F164))</f>
        <v/>
      </c>
    </row>
    <row r="165" spans="1:7" ht="15" customHeight="1" x14ac:dyDescent="0.2">
      <c r="A165" s="71"/>
      <c r="B165" s="40" t="str">
        <f>IF(A165="","",COUNTIF('Trade Log'!B:B,A165))</f>
        <v/>
      </c>
      <c r="C165" s="40" t="str">
        <f>IF(A165="","",COUNTIFS('Trade Log'!B:B,A165,'Trade Log'!Q:Q,"WIN"))</f>
        <v/>
      </c>
      <c r="D165" s="40" t="str">
        <f>IF(A165="","",COUNTIFS('Trade Log'!B:B,A165,'Trade Log'!Q:Q,"LOSS"))</f>
        <v/>
      </c>
      <c r="E165" s="41" t="str">
        <f t="shared" si="2"/>
        <v>-</v>
      </c>
      <c r="F165" s="42" t="str">
        <f>IF(A165="","",SUMIF('Trade Log'!B:B,A165,'Trade Log'!N:N))</f>
        <v/>
      </c>
      <c r="G165" s="42" t="str">
        <f>IF(A165="","",SUM($F$3:F165))</f>
        <v/>
      </c>
    </row>
    <row r="166" spans="1:7" ht="15" customHeight="1" x14ac:dyDescent="0.2">
      <c r="A166" s="71"/>
      <c r="B166" s="40" t="str">
        <f>IF(A166="","",COUNTIF('Trade Log'!B:B,A166))</f>
        <v/>
      </c>
      <c r="C166" s="40" t="str">
        <f>IF(A166="","",COUNTIFS('Trade Log'!B:B,A166,'Trade Log'!Q:Q,"WIN"))</f>
        <v/>
      </c>
      <c r="D166" s="40" t="str">
        <f>IF(A166="","",COUNTIFS('Trade Log'!B:B,A166,'Trade Log'!Q:Q,"LOSS"))</f>
        <v/>
      </c>
      <c r="E166" s="41" t="str">
        <f t="shared" si="2"/>
        <v>-</v>
      </c>
      <c r="F166" s="42" t="str">
        <f>IF(A166="","",SUMIF('Trade Log'!B:B,A166,'Trade Log'!N:N))</f>
        <v/>
      </c>
      <c r="G166" s="42" t="str">
        <f>IF(A166="","",SUM($F$3:F166))</f>
        <v/>
      </c>
    </row>
    <row r="167" spans="1:7" ht="15" customHeight="1" x14ac:dyDescent="0.2">
      <c r="A167" s="71"/>
      <c r="B167" s="40" t="str">
        <f>IF(A167="","",COUNTIF('Trade Log'!B:B,A167))</f>
        <v/>
      </c>
      <c r="C167" s="40" t="str">
        <f>IF(A167="","",COUNTIFS('Trade Log'!B:B,A167,'Trade Log'!Q:Q,"WIN"))</f>
        <v/>
      </c>
      <c r="D167" s="40" t="str">
        <f>IF(A167="","",COUNTIFS('Trade Log'!B:B,A167,'Trade Log'!Q:Q,"LOSS"))</f>
        <v/>
      </c>
      <c r="E167" s="41" t="str">
        <f t="shared" si="2"/>
        <v>-</v>
      </c>
      <c r="F167" s="42" t="str">
        <f>IF(A167="","",SUMIF('Trade Log'!B:B,A167,'Trade Log'!N:N))</f>
        <v/>
      </c>
      <c r="G167" s="42" t="str">
        <f>IF(A167="","",SUM($F$3:F167))</f>
        <v/>
      </c>
    </row>
    <row r="168" spans="1:7" ht="15" customHeight="1" x14ac:dyDescent="0.2">
      <c r="A168" s="71"/>
      <c r="B168" s="40" t="str">
        <f>IF(A168="","",COUNTIF('Trade Log'!B:B,A168))</f>
        <v/>
      </c>
      <c r="C168" s="40" t="str">
        <f>IF(A168="","",COUNTIFS('Trade Log'!B:B,A168,'Trade Log'!Q:Q,"WIN"))</f>
        <v/>
      </c>
      <c r="D168" s="40" t="str">
        <f>IF(A168="","",COUNTIFS('Trade Log'!B:B,A168,'Trade Log'!Q:Q,"LOSS"))</f>
        <v/>
      </c>
      <c r="E168" s="41" t="str">
        <f t="shared" si="2"/>
        <v>-</v>
      </c>
      <c r="F168" s="42" t="str">
        <f>IF(A168="","",SUMIF('Trade Log'!B:B,A168,'Trade Log'!N:N))</f>
        <v/>
      </c>
      <c r="G168" s="42" t="str">
        <f>IF(A168="","",SUM($F$3:F168))</f>
        <v/>
      </c>
    </row>
    <row r="169" spans="1:7" ht="15" customHeight="1" x14ac:dyDescent="0.2">
      <c r="A169" s="71"/>
      <c r="B169" s="40" t="str">
        <f>IF(A169="","",COUNTIF('Trade Log'!B:B,A169))</f>
        <v/>
      </c>
      <c r="C169" s="40" t="str">
        <f>IF(A169="","",COUNTIFS('Trade Log'!B:B,A169,'Trade Log'!Q:Q,"WIN"))</f>
        <v/>
      </c>
      <c r="D169" s="40" t="str">
        <f>IF(A169="","",COUNTIFS('Trade Log'!B:B,A169,'Trade Log'!Q:Q,"LOSS"))</f>
        <v/>
      </c>
      <c r="E169" s="41" t="str">
        <f t="shared" si="2"/>
        <v>-</v>
      </c>
      <c r="F169" s="42" t="str">
        <f>IF(A169="","",SUMIF('Trade Log'!B:B,A169,'Trade Log'!N:N))</f>
        <v/>
      </c>
      <c r="G169" s="42" t="str">
        <f>IF(A169="","",SUM($F$3:F169))</f>
        <v/>
      </c>
    </row>
    <row r="170" spans="1:7" ht="15" customHeight="1" x14ac:dyDescent="0.2">
      <c r="A170" s="71"/>
      <c r="B170" s="40" t="str">
        <f>IF(A170="","",COUNTIF('Trade Log'!B:B,A170))</f>
        <v/>
      </c>
      <c r="C170" s="40" t="str">
        <f>IF(A170="","",COUNTIFS('Trade Log'!B:B,A170,'Trade Log'!Q:Q,"WIN"))</f>
        <v/>
      </c>
      <c r="D170" s="40" t="str">
        <f>IF(A170="","",COUNTIFS('Trade Log'!B:B,A170,'Trade Log'!Q:Q,"LOSS"))</f>
        <v/>
      </c>
      <c r="E170" s="41" t="str">
        <f t="shared" si="2"/>
        <v>-</v>
      </c>
      <c r="F170" s="42" t="str">
        <f>IF(A170="","",SUMIF('Trade Log'!B:B,A170,'Trade Log'!N:N))</f>
        <v/>
      </c>
      <c r="G170" s="42" t="str">
        <f>IF(A170="","",SUM($F$3:F170))</f>
        <v/>
      </c>
    </row>
    <row r="171" spans="1:7" ht="15" customHeight="1" x14ac:dyDescent="0.2">
      <c r="A171" s="71"/>
      <c r="B171" s="40" t="str">
        <f>IF(A171="","",COUNTIF('Trade Log'!B:B,A171))</f>
        <v/>
      </c>
      <c r="C171" s="40" t="str">
        <f>IF(A171="","",COUNTIFS('Trade Log'!B:B,A171,'Trade Log'!Q:Q,"WIN"))</f>
        <v/>
      </c>
      <c r="D171" s="40" t="str">
        <f>IF(A171="","",COUNTIFS('Trade Log'!B:B,A171,'Trade Log'!Q:Q,"LOSS"))</f>
        <v/>
      </c>
      <c r="E171" s="41" t="str">
        <f t="shared" si="2"/>
        <v>-</v>
      </c>
      <c r="F171" s="42" t="str">
        <f>IF(A171="","",SUMIF('Trade Log'!B:B,A171,'Trade Log'!N:N))</f>
        <v/>
      </c>
      <c r="G171" s="42" t="str">
        <f>IF(A171="","",SUM($F$3:F171))</f>
        <v/>
      </c>
    </row>
    <row r="172" spans="1:7" ht="15" customHeight="1" x14ac:dyDescent="0.2">
      <c r="A172" s="71"/>
      <c r="B172" s="40" t="str">
        <f>IF(A172="","",COUNTIF('Trade Log'!B:B,A172))</f>
        <v/>
      </c>
      <c r="C172" s="40" t="str">
        <f>IF(A172="","",COUNTIFS('Trade Log'!B:B,A172,'Trade Log'!Q:Q,"WIN"))</f>
        <v/>
      </c>
      <c r="D172" s="40" t="str">
        <f>IF(A172="","",COUNTIFS('Trade Log'!B:B,A172,'Trade Log'!Q:Q,"LOSS"))</f>
        <v/>
      </c>
      <c r="E172" s="41" t="str">
        <f t="shared" si="2"/>
        <v>-</v>
      </c>
      <c r="F172" s="42" t="str">
        <f>IF(A172="","",SUMIF('Trade Log'!B:B,A172,'Trade Log'!N:N))</f>
        <v/>
      </c>
      <c r="G172" s="42" t="str">
        <f>IF(A172="","",SUM($F$3:F172))</f>
        <v/>
      </c>
    </row>
    <row r="173" spans="1:7" ht="15" customHeight="1" x14ac:dyDescent="0.2">
      <c r="A173" s="71"/>
      <c r="B173" s="40" t="str">
        <f>IF(A173="","",COUNTIF('Trade Log'!B:B,A173))</f>
        <v/>
      </c>
      <c r="C173" s="40" t="str">
        <f>IF(A173="","",COUNTIFS('Trade Log'!B:B,A173,'Trade Log'!Q:Q,"WIN"))</f>
        <v/>
      </c>
      <c r="D173" s="40" t="str">
        <f>IF(A173="","",COUNTIFS('Trade Log'!B:B,A173,'Trade Log'!Q:Q,"LOSS"))</f>
        <v/>
      </c>
      <c r="E173" s="41" t="str">
        <f t="shared" si="2"/>
        <v>-</v>
      </c>
      <c r="F173" s="42" t="str">
        <f>IF(A173="","",SUMIF('Trade Log'!B:B,A173,'Trade Log'!N:N))</f>
        <v/>
      </c>
      <c r="G173" s="42" t="str">
        <f>IF(A173="","",SUM($F$3:F173))</f>
        <v/>
      </c>
    </row>
    <row r="174" spans="1:7" ht="15" customHeight="1" x14ac:dyDescent="0.2">
      <c r="A174" s="71"/>
      <c r="B174" s="40" t="str">
        <f>IF(A174="","",COUNTIF('Trade Log'!B:B,A174))</f>
        <v/>
      </c>
      <c r="C174" s="40" t="str">
        <f>IF(A174="","",COUNTIFS('Trade Log'!B:B,A174,'Trade Log'!Q:Q,"WIN"))</f>
        <v/>
      </c>
      <c r="D174" s="40" t="str">
        <f>IF(A174="","",COUNTIFS('Trade Log'!B:B,A174,'Trade Log'!Q:Q,"LOSS"))</f>
        <v/>
      </c>
      <c r="E174" s="41" t="str">
        <f t="shared" si="2"/>
        <v>-</v>
      </c>
      <c r="F174" s="42" t="str">
        <f>IF(A174="","",SUMIF('Trade Log'!B:B,A174,'Trade Log'!N:N))</f>
        <v/>
      </c>
      <c r="G174" s="42" t="str">
        <f>IF(A174="","",SUM($F$3:F174))</f>
        <v/>
      </c>
    </row>
    <row r="175" spans="1:7" ht="15" customHeight="1" x14ac:dyDescent="0.2">
      <c r="A175" s="71"/>
      <c r="B175" s="40" t="str">
        <f>IF(A175="","",COUNTIF('Trade Log'!B:B,A175))</f>
        <v/>
      </c>
      <c r="C175" s="40" t="str">
        <f>IF(A175="","",COUNTIFS('Trade Log'!B:B,A175,'Trade Log'!Q:Q,"WIN"))</f>
        <v/>
      </c>
      <c r="D175" s="40" t="str">
        <f>IF(A175="","",COUNTIFS('Trade Log'!B:B,A175,'Trade Log'!Q:Q,"LOSS"))</f>
        <v/>
      </c>
      <c r="E175" s="41" t="str">
        <f t="shared" si="2"/>
        <v>-</v>
      </c>
      <c r="F175" s="42" t="str">
        <f>IF(A175="","",SUMIF('Trade Log'!B:B,A175,'Trade Log'!N:N))</f>
        <v/>
      </c>
      <c r="G175" s="42" t="str">
        <f>IF(A175="","",SUM($F$3:F175))</f>
        <v/>
      </c>
    </row>
    <row r="176" spans="1:7" ht="15" customHeight="1" x14ac:dyDescent="0.2">
      <c r="A176" s="71"/>
      <c r="B176" s="40" t="str">
        <f>IF(A176="","",COUNTIF('Trade Log'!B:B,A176))</f>
        <v/>
      </c>
      <c r="C176" s="40" t="str">
        <f>IF(A176="","",COUNTIFS('Trade Log'!B:B,A176,'Trade Log'!Q:Q,"WIN"))</f>
        <v/>
      </c>
      <c r="D176" s="40" t="str">
        <f>IF(A176="","",COUNTIFS('Trade Log'!B:B,A176,'Trade Log'!Q:Q,"LOSS"))</f>
        <v/>
      </c>
      <c r="E176" s="41" t="str">
        <f t="shared" si="2"/>
        <v>-</v>
      </c>
      <c r="F176" s="42" t="str">
        <f>IF(A176="","",SUMIF('Trade Log'!B:B,A176,'Trade Log'!N:N))</f>
        <v/>
      </c>
      <c r="G176" s="42" t="str">
        <f>IF(A176="","",SUM($F$3:F176))</f>
        <v/>
      </c>
    </row>
    <row r="177" spans="1:7" ht="15" customHeight="1" x14ac:dyDescent="0.2">
      <c r="A177" s="71"/>
      <c r="B177" s="40" t="str">
        <f>IF(A177="","",COUNTIF('Trade Log'!B:B,A177))</f>
        <v/>
      </c>
      <c r="C177" s="40" t="str">
        <f>IF(A177="","",COUNTIFS('Trade Log'!B:B,A177,'Trade Log'!Q:Q,"WIN"))</f>
        <v/>
      </c>
      <c r="D177" s="40" t="str">
        <f>IF(A177="","",COUNTIFS('Trade Log'!B:B,A177,'Trade Log'!Q:Q,"LOSS"))</f>
        <v/>
      </c>
      <c r="E177" s="41" t="str">
        <f t="shared" si="2"/>
        <v>-</v>
      </c>
      <c r="F177" s="42" t="str">
        <f>IF(A177="","",SUMIF('Trade Log'!B:B,A177,'Trade Log'!N:N))</f>
        <v/>
      </c>
      <c r="G177" s="42" t="str">
        <f>IF(A177="","",SUM($F$3:F177))</f>
        <v/>
      </c>
    </row>
    <row r="178" spans="1:7" ht="15" customHeight="1" x14ac:dyDescent="0.2">
      <c r="A178" s="71"/>
      <c r="B178" s="40" t="str">
        <f>IF(A178="","",COUNTIF('Trade Log'!B:B,A178))</f>
        <v/>
      </c>
      <c r="C178" s="40" t="str">
        <f>IF(A178="","",COUNTIFS('Trade Log'!B:B,A178,'Trade Log'!Q:Q,"WIN"))</f>
        <v/>
      </c>
      <c r="D178" s="40" t="str">
        <f>IF(A178="","",COUNTIFS('Trade Log'!B:B,A178,'Trade Log'!Q:Q,"LOSS"))</f>
        <v/>
      </c>
      <c r="E178" s="41" t="str">
        <f t="shared" si="2"/>
        <v>-</v>
      </c>
      <c r="F178" s="42" t="str">
        <f>IF(A178="","",SUMIF('Trade Log'!B:B,A178,'Trade Log'!N:N))</f>
        <v/>
      </c>
      <c r="G178" s="42" t="str">
        <f>IF(A178="","",SUM($F$3:F178))</f>
        <v/>
      </c>
    </row>
    <row r="179" spans="1:7" ht="15" customHeight="1" x14ac:dyDescent="0.2">
      <c r="A179" s="71"/>
      <c r="B179" s="40" t="str">
        <f>IF(A179="","",COUNTIF('Trade Log'!B:B,A179))</f>
        <v/>
      </c>
      <c r="C179" s="40" t="str">
        <f>IF(A179="","",COUNTIFS('Trade Log'!B:B,A179,'Trade Log'!Q:Q,"WIN"))</f>
        <v/>
      </c>
      <c r="D179" s="40" t="str">
        <f>IF(A179="","",COUNTIFS('Trade Log'!B:B,A179,'Trade Log'!Q:Q,"LOSS"))</f>
        <v/>
      </c>
      <c r="E179" s="41" t="str">
        <f t="shared" si="2"/>
        <v>-</v>
      </c>
      <c r="F179" s="42" t="str">
        <f>IF(A179="","",SUMIF('Trade Log'!B:B,A179,'Trade Log'!N:N))</f>
        <v/>
      </c>
      <c r="G179" s="42" t="str">
        <f>IF(A179="","",SUM($F$3:F179))</f>
        <v/>
      </c>
    </row>
    <row r="180" spans="1:7" ht="15" customHeight="1" x14ac:dyDescent="0.2">
      <c r="A180" s="71"/>
      <c r="B180" s="40" t="str">
        <f>IF(A180="","",COUNTIF('Trade Log'!B:B,A180))</f>
        <v/>
      </c>
      <c r="C180" s="40" t="str">
        <f>IF(A180="","",COUNTIFS('Trade Log'!B:B,A180,'Trade Log'!Q:Q,"WIN"))</f>
        <v/>
      </c>
      <c r="D180" s="40" t="str">
        <f>IF(A180="","",COUNTIFS('Trade Log'!B:B,A180,'Trade Log'!Q:Q,"LOSS"))</f>
        <v/>
      </c>
      <c r="E180" s="41" t="str">
        <f t="shared" si="2"/>
        <v>-</v>
      </c>
      <c r="F180" s="42" t="str">
        <f>IF(A180="","",SUMIF('Trade Log'!B:B,A180,'Trade Log'!N:N))</f>
        <v/>
      </c>
      <c r="G180" s="42" t="str">
        <f>IF(A180="","",SUM($F$3:F180))</f>
        <v/>
      </c>
    </row>
    <row r="181" spans="1:7" ht="15" customHeight="1" x14ac:dyDescent="0.2">
      <c r="A181" s="71"/>
      <c r="B181" s="40" t="str">
        <f>IF(A181="","",COUNTIF('Trade Log'!B:B,A181))</f>
        <v/>
      </c>
      <c r="C181" s="40" t="str">
        <f>IF(A181="","",COUNTIFS('Trade Log'!B:B,A181,'Trade Log'!Q:Q,"WIN"))</f>
        <v/>
      </c>
      <c r="D181" s="40" t="str">
        <f>IF(A181="","",COUNTIFS('Trade Log'!B:B,A181,'Trade Log'!Q:Q,"LOSS"))</f>
        <v/>
      </c>
      <c r="E181" s="41" t="str">
        <f t="shared" si="2"/>
        <v>-</v>
      </c>
      <c r="F181" s="42" t="str">
        <f>IF(A181="","",SUMIF('Trade Log'!B:B,A181,'Trade Log'!N:N))</f>
        <v/>
      </c>
      <c r="G181" s="42" t="str">
        <f>IF(A181="","",SUM($F$3:F181))</f>
        <v/>
      </c>
    </row>
    <row r="182" spans="1:7" ht="15" customHeight="1" x14ac:dyDescent="0.2">
      <c r="A182" s="71"/>
      <c r="B182" s="40" t="str">
        <f>IF(A182="","",COUNTIF('Trade Log'!B:B,A182))</f>
        <v/>
      </c>
      <c r="C182" s="40" t="str">
        <f>IF(A182="","",COUNTIFS('Trade Log'!B:B,A182,'Trade Log'!Q:Q,"WIN"))</f>
        <v/>
      </c>
      <c r="D182" s="40" t="str">
        <f>IF(A182="","",COUNTIFS('Trade Log'!B:B,A182,'Trade Log'!Q:Q,"LOSS"))</f>
        <v/>
      </c>
      <c r="E182" s="41" t="str">
        <f t="shared" si="2"/>
        <v>-</v>
      </c>
      <c r="F182" s="42" t="str">
        <f>IF(A182="","",SUMIF('Trade Log'!B:B,A182,'Trade Log'!N:N))</f>
        <v/>
      </c>
      <c r="G182" s="42" t="str">
        <f>IF(A182="","",SUM($F$3:F182))</f>
        <v/>
      </c>
    </row>
    <row r="183" spans="1:7" ht="15" customHeight="1" x14ac:dyDescent="0.2">
      <c r="A183" s="71"/>
      <c r="B183" s="40" t="str">
        <f>IF(A183="","",COUNTIF('Trade Log'!B:B,A183))</f>
        <v/>
      </c>
      <c r="C183" s="40" t="str">
        <f>IF(A183="","",COUNTIFS('Trade Log'!B:B,A183,'Trade Log'!Q:Q,"WIN"))</f>
        <v/>
      </c>
      <c r="D183" s="40" t="str">
        <f>IF(A183="","",COUNTIFS('Trade Log'!B:B,A183,'Trade Log'!Q:Q,"LOSS"))</f>
        <v/>
      </c>
      <c r="E183" s="41" t="str">
        <f t="shared" si="2"/>
        <v>-</v>
      </c>
      <c r="F183" s="42" t="str">
        <f>IF(A183="","",SUMIF('Trade Log'!B:B,A183,'Trade Log'!N:N))</f>
        <v/>
      </c>
      <c r="G183" s="42" t="str">
        <f>IF(A183="","",SUM($F$3:F183))</f>
        <v/>
      </c>
    </row>
    <row r="184" spans="1:7" ht="15" customHeight="1" x14ac:dyDescent="0.2">
      <c r="A184" s="71"/>
      <c r="B184" s="40" t="str">
        <f>IF(A184="","",COUNTIF('Trade Log'!B:B,A184))</f>
        <v/>
      </c>
      <c r="C184" s="40" t="str">
        <f>IF(A184="","",COUNTIFS('Trade Log'!B:B,A184,'Trade Log'!Q:Q,"WIN"))</f>
        <v/>
      </c>
      <c r="D184" s="40" t="str">
        <f>IF(A184="","",COUNTIFS('Trade Log'!B:B,A184,'Trade Log'!Q:Q,"LOSS"))</f>
        <v/>
      </c>
      <c r="E184" s="41" t="str">
        <f t="shared" si="2"/>
        <v>-</v>
      </c>
      <c r="F184" s="42" t="str">
        <f>IF(A184="","",SUMIF('Trade Log'!B:B,A184,'Trade Log'!N:N))</f>
        <v/>
      </c>
      <c r="G184" s="42" t="str">
        <f>IF(A184="","",SUM($F$3:F184))</f>
        <v/>
      </c>
    </row>
    <row r="185" spans="1:7" ht="15" customHeight="1" x14ac:dyDescent="0.2">
      <c r="A185" s="71"/>
      <c r="B185" s="40" t="str">
        <f>IF(A185="","",COUNTIF('Trade Log'!B:B,A185))</f>
        <v/>
      </c>
      <c r="C185" s="40" t="str">
        <f>IF(A185="","",COUNTIFS('Trade Log'!B:B,A185,'Trade Log'!Q:Q,"WIN"))</f>
        <v/>
      </c>
      <c r="D185" s="40" t="str">
        <f>IF(A185="","",COUNTIFS('Trade Log'!B:B,A185,'Trade Log'!Q:Q,"LOSS"))</f>
        <v/>
      </c>
      <c r="E185" s="41" t="str">
        <f t="shared" si="2"/>
        <v>-</v>
      </c>
      <c r="F185" s="42" t="str">
        <f>IF(A185="","",SUMIF('Trade Log'!B:B,A185,'Trade Log'!N:N))</f>
        <v/>
      </c>
      <c r="G185" s="42" t="str">
        <f>IF(A185="","",SUM($F$3:F185))</f>
        <v/>
      </c>
    </row>
    <row r="186" spans="1:7" ht="15" customHeight="1" x14ac:dyDescent="0.2">
      <c r="A186" s="71"/>
      <c r="B186" s="40" t="str">
        <f>IF(A186="","",COUNTIF('Trade Log'!B:B,A186))</f>
        <v/>
      </c>
      <c r="C186" s="40" t="str">
        <f>IF(A186="","",COUNTIFS('Trade Log'!B:B,A186,'Trade Log'!Q:Q,"WIN"))</f>
        <v/>
      </c>
      <c r="D186" s="40" t="str">
        <f>IF(A186="","",COUNTIFS('Trade Log'!B:B,A186,'Trade Log'!Q:Q,"LOSS"))</f>
        <v/>
      </c>
      <c r="E186" s="41" t="str">
        <f t="shared" si="2"/>
        <v>-</v>
      </c>
      <c r="F186" s="42" t="str">
        <f>IF(A186="","",SUMIF('Trade Log'!B:B,A186,'Trade Log'!N:N))</f>
        <v/>
      </c>
      <c r="G186" s="42" t="str">
        <f>IF(A186="","",SUM($F$3:F186))</f>
        <v/>
      </c>
    </row>
    <row r="187" spans="1:7" ht="15" customHeight="1" x14ac:dyDescent="0.2">
      <c r="A187" s="71"/>
      <c r="B187" s="40" t="str">
        <f>IF(A187="","",COUNTIF('Trade Log'!B:B,A187))</f>
        <v/>
      </c>
      <c r="C187" s="40" t="str">
        <f>IF(A187="","",COUNTIFS('Trade Log'!B:B,A187,'Trade Log'!Q:Q,"WIN"))</f>
        <v/>
      </c>
      <c r="D187" s="40" t="str">
        <f>IF(A187="","",COUNTIFS('Trade Log'!B:B,A187,'Trade Log'!Q:Q,"LOSS"))</f>
        <v/>
      </c>
      <c r="E187" s="41" t="str">
        <f t="shared" si="2"/>
        <v>-</v>
      </c>
      <c r="F187" s="42" t="str">
        <f>IF(A187="","",SUMIF('Trade Log'!B:B,A187,'Trade Log'!N:N))</f>
        <v/>
      </c>
      <c r="G187" s="42" t="str">
        <f>IF(A187="","",SUM($F$3:F187))</f>
        <v/>
      </c>
    </row>
    <row r="188" spans="1:7" ht="15" customHeight="1" x14ac:dyDescent="0.2">
      <c r="A188" s="71"/>
      <c r="B188" s="40" t="str">
        <f>IF(A188="","",COUNTIF('Trade Log'!B:B,A188))</f>
        <v/>
      </c>
      <c r="C188" s="40" t="str">
        <f>IF(A188="","",COUNTIFS('Trade Log'!B:B,A188,'Trade Log'!Q:Q,"WIN"))</f>
        <v/>
      </c>
      <c r="D188" s="40" t="str">
        <f>IF(A188="","",COUNTIFS('Trade Log'!B:B,A188,'Trade Log'!Q:Q,"LOSS"))</f>
        <v/>
      </c>
      <c r="E188" s="41" t="str">
        <f t="shared" si="2"/>
        <v>-</v>
      </c>
      <c r="F188" s="42" t="str">
        <f>IF(A188="","",SUMIF('Trade Log'!B:B,A188,'Trade Log'!N:N))</f>
        <v/>
      </c>
      <c r="G188" s="42" t="str">
        <f>IF(A188="","",SUM($F$3:F188))</f>
        <v/>
      </c>
    </row>
    <row r="189" spans="1:7" ht="15" customHeight="1" x14ac:dyDescent="0.2">
      <c r="A189" s="71"/>
      <c r="B189" s="40" t="str">
        <f>IF(A189="","",COUNTIF('Trade Log'!B:B,A189))</f>
        <v/>
      </c>
      <c r="C189" s="40" t="str">
        <f>IF(A189="","",COUNTIFS('Trade Log'!B:B,A189,'Trade Log'!Q:Q,"WIN"))</f>
        <v/>
      </c>
      <c r="D189" s="40" t="str">
        <f>IF(A189="","",COUNTIFS('Trade Log'!B:B,A189,'Trade Log'!Q:Q,"LOSS"))</f>
        <v/>
      </c>
      <c r="E189" s="41" t="str">
        <f t="shared" si="2"/>
        <v>-</v>
      </c>
      <c r="F189" s="42" t="str">
        <f>IF(A189="","",SUMIF('Trade Log'!B:B,A189,'Trade Log'!N:N))</f>
        <v/>
      </c>
      <c r="G189" s="42" t="str">
        <f>IF(A189="","",SUM($F$3:F189))</f>
        <v/>
      </c>
    </row>
    <row r="190" spans="1:7" ht="15" customHeight="1" x14ac:dyDescent="0.2">
      <c r="A190" s="71"/>
      <c r="B190" s="40" t="str">
        <f>IF(A190="","",COUNTIF('Trade Log'!B:B,A190))</f>
        <v/>
      </c>
      <c r="C190" s="40" t="str">
        <f>IF(A190="","",COUNTIFS('Trade Log'!B:B,A190,'Trade Log'!Q:Q,"WIN"))</f>
        <v/>
      </c>
      <c r="D190" s="40" t="str">
        <f>IF(A190="","",COUNTIFS('Trade Log'!B:B,A190,'Trade Log'!Q:Q,"LOSS"))</f>
        <v/>
      </c>
      <c r="E190" s="41" t="str">
        <f t="shared" si="2"/>
        <v>-</v>
      </c>
      <c r="F190" s="42" t="str">
        <f>IF(A190="","",SUMIF('Trade Log'!B:B,A190,'Trade Log'!N:N))</f>
        <v/>
      </c>
      <c r="G190" s="42" t="str">
        <f>IF(A190="","",SUM($F$3:F190))</f>
        <v/>
      </c>
    </row>
    <row r="191" spans="1:7" ht="15" customHeight="1" x14ac:dyDescent="0.2">
      <c r="A191" s="71"/>
      <c r="B191" s="40" t="str">
        <f>IF(A191="","",COUNTIF('Trade Log'!B:B,A191))</f>
        <v/>
      </c>
      <c r="C191" s="40" t="str">
        <f>IF(A191="","",COUNTIFS('Trade Log'!B:B,A191,'Trade Log'!Q:Q,"WIN"))</f>
        <v/>
      </c>
      <c r="D191" s="40" t="str">
        <f>IF(A191="","",COUNTIFS('Trade Log'!B:B,A191,'Trade Log'!Q:Q,"LOSS"))</f>
        <v/>
      </c>
      <c r="E191" s="41" t="str">
        <f t="shared" si="2"/>
        <v>-</v>
      </c>
      <c r="F191" s="42" t="str">
        <f>IF(A191="","",SUMIF('Trade Log'!B:B,A191,'Trade Log'!N:N))</f>
        <v/>
      </c>
      <c r="G191" s="42" t="str">
        <f>IF(A191="","",SUM($F$3:F191))</f>
        <v/>
      </c>
    </row>
    <row r="192" spans="1:7" ht="15" customHeight="1" x14ac:dyDescent="0.2">
      <c r="A192" s="71"/>
      <c r="B192" s="40" t="str">
        <f>IF(A192="","",COUNTIF('Trade Log'!B:B,A192))</f>
        <v/>
      </c>
      <c r="C192" s="40" t="str">
        <f>IF(A192="","",COUNTIFS('Trade Log'!B:B,A192,'Trade Log'!Q:Q,"WIN"))</f>
        <v/>
      </c>
      <c r="D192" s="40" t="str">
        <f>IF(A192="","",COUNTIFS('Trade Log'!B:B,A192,'Trade Log'!Q:Q,"LOSS"))</f>
        <v/>
      </c>
      <c r="E192" s="41" t="str">
        <f t="shared" si="2"/>
        <v>-</v>
      </c>
      <c r="F192" s="42" t="str">
        <f>IF(A192="","",SUMIF('Trade Log'!B:B,A192,'Trade Log'!N:N))</f>
        <v/>
      </c>
      <c r="G192" s="42" t="str">
        <f>IF(A192="","",SUM($F$3:F192))</f>
        <v/>
      </c>
    </row>
    <row r="193" spans="1:7" ht="15" customHeight="1" x14ac:dyDescent="0.2">
      <c r="A193" s="71"/>
      <c r="B193" s="40" t="str">
        <f>IF(A193="","",COUNTIF('Trade Log'!B:B,A193))</f>
        <v/>
      </c>
      <c r="C193" s="40" t="str">
        <f>IF(A193="","",COUNTIFS('Trade Log'!B:B,A193,'Trade Log'!Q:Q,"WIN"))</f>
        <v/>
      </c>
      <c r="D193" s="40" t="str">
        <f>IF(A193="","",COUNTIFS('Trade Log'!B:B,A193,'Trade Log'!Q:Q,"LOSS"))</f>
        <v/>
      </c>
      <c r="E193" s="41" t="str">
        <f t="shared" si="2"/>
        <v>-</v>
      </c>
      <c r="F193" s="42" t="str">
        <f>IF(A193="","",SUMIF('Trade Log'!B:B,A193,'Trade Log'!N:N))</f>
        <v/>
      </c>
      <c r="G193" s="42" t="str">
        <f>IF(A193="","",SUM($F$3:F193))</f>
        <v/>
      </c>
    </row>
    <row r="194" spans="1:7" ht="15" customHeight="1" x14ac:dyDescent="0.2">
      <c r="A194" s="71"/>
      <c r="B194" s="40" t="str">
        <f>IF(A194="","",COUNTIF('Trade Log'!B:B,A194))</f>
        <v/>
      </c>
      <c r="C194" s="40" t="str">
        <f>IF(A194="","",COUNTIFS('Trade Log'!B:B,A194,'Trade Log'!Q:Q,"WIN"))</f>
        <v/>
      </c>
      <c r="D194" s="40" t="str">
        <f>IF(A194="","",COUNTIFS('Trade Log'!B:B,A194,'Trade Log'!Q:Q,"LOSS"))</f>
        <v/>
      </c>
      <c r="E194" s="41" t="str">
        <f t="shared" si="2"/>
        <v>-</v>
      </c>
      <c r="F194" s="42" t="str">
        <f>IF(A194="","",SUMIF('Trade Log'!B:B,A194,'Trade Log'!N:N))</f>
        <v/>
      </c>
      <c r="G194" s="42" t="str">
        <f>IF(A194="","",SUM($F$3:F194))</f>
        <v/>
      </c>
    </row>
    <row r="195" spans="1:7" ht="15" customHeight="1" x14ac:dyDescent="0.2">
      <c r="A195" s="71"/>
      <c r="B195" s="40" t="str">
        <f>IF(A195="","",COUNTIF('Trade Log'!B:B,A195))</f>
        <v/>
      </c>
      <c r="C195" s="40" t="str">
        <f>IF(A195="","",COUNTIFS('Trade Log'!B:B,A195,'Trade Log'!Q:Q,"WIN"))</f>
        <v/>
      </c>
      <c r="D195" s="40" t="str">
        <f>IF(A195="","",COUNTIFS('Trade Log'!B:B,A195,'Trade Log'!Q:Q,"LOSS"))</f>
        <v/>
      </c>
      <c r="E195" s="41" t="str">
        <f t="shared" ref="E195:E252" si="3">IF(OR(A195="",B195=0),"-",C195/B195)</f>
        <v>-</v>
      </c>
      <c r="F195" s="42" t="str">
        <f>IF(A195="","",SUMIF('Trade Log'!B:B,A195,'Trade Log'!N:N))</f>
        <v/>
      </c>
      <c r="G195" s="42" t="str">
        <f>IF(A195="","",SUM($F$3:F195))</f>
        <v/>
      </c>
    </row>
    <row r="196" spans="1:7" ht="15" customHeight="1" x14ac:dyDescent="0.2">
      <c r="A196" s="71"/>
      <c r="B196" s="40" t="str">
        <f>IF(A196="","",COUNTIF('Trade Log'!B:B,A196))</f>
        <v/>
      </c>
      <c r="C196" s="40" t="str">
        <f>IF(A196="","",COUNTIFS('Trade Log'!B:B,A196,'Trade Log'!Q:Q,"WIN"))</f>
        <v/>
      </c>
      <c r="D196" s="40" t="str">
        <f>IF(A196="","",COUNTIFS('Trade Log'!B:B,A196,'Trade Log'!Q:Q,"LOSS"))</f>
        <v/>
      </c>
      <c r="E196" s="41" t="str">
        <f t="shared" si="3"/>
        <v>-</v>
      </c>
      <c r="F196" s="42" t="str">
        <f>IF(A196="","",SUMIF('Trade Log'!B:B,A196,'Trade Log'!N:N))</f>
        <v/>
      </c>
      <c r="G196" s="42" t="str">
        <f>IF(A196="","",SUM($F$3:F196))</f>
        <v/>
      </c>
    </row>
    <row r="197" spans="1:7" ht="15" customHeight="1" x14ac:dyDescent="0.2">
      <c r="A197" s="71"/>
      <c r="B197" s="40" t="str">
        <f>IF(A197="","",COUNTIF('Trade Log'!B:B,A197))</f>
        <v/>
      </c>
      <c r="C197" s="40" t="str">
        <f>IF(A197="","",COUNTIFS('Trade Log'!B:B,A197,'Trade Log'!Q:Q,"WIN"))</f>
        <v/>
      </c>
      <c r="D197" s="40" t="str">
        <f>IF(A197="","",COUNTIFS('Trade Log'!B:B,A197,'Trade Log'!Q:Q,"LOSS"))</f>
        <v/>
      </c>
      <c r="E197" s="41" t="str">
        <f t="shared" si="3"/>
        <v>-</v>
      </c>
      <c r="F197" s="42" t="str">
        <f>IF(A197="","",SUMIF('Trade Log'!B:B,A197,'Trade Log'!N:N))</f>
        <v/>
      </c>
      <c r="G197" s="42" t="str">
        <f>IF(A197="","",SUM($F$3:F197))</f>
        <v/>
      </c>
    </row>
    <row r="198" spans="1:7" ht="15" customHeight="1" x14ac:dyDescent="0.2">
      <c r="A198" s="71"/>
      <c r="B198" s="40" t="str">
        <f>IF(A198="","",COUNTIF('Trade Log'!B:B,A198))</f>
        <v/>
      </c>
      <c r="C198" s="40" t="str">
        <f>IF(A198="","",COUNTIFS('Trade Log'!B:B,A198,'Trade Log'!Q:Q,"WIN"))</f>
        <v/>
      </c>
      <c r="D198" s="40" t="str">
        <f>IF(A198="","",COUNTIFS('Trade Log'!B:B,A198,'Trade Log'!Q:Q,"LOSS"))</f>
        <v/>
      </c>
      <c r="E198" s="41" t="str">
        <f t="shared" si="3"/>
        <v>-</v>
      </c>
      <c r="F198" s="42" t="str">
        <f>IF(A198="","",SUMIF('Trade Log'!B:B,A198,'Trade Log'!N:N))</f>
        <v/>
      </c>
      <c r="G198" s="42" t="str">
        <f>IF(A198="","",SUM($F$3:F198))</f>
        <v/>
      </c>
    </row>
    <row r="199" spans="1:7" ht="15" customHeight="1" x14ac:dyDescent="0.2">
      <c r="A199" s="71"/>
      <c r="B199" s="40" t="str">
        <f>IF(A199="","",COUNTIF('Trade Log'!B:B,A199))</f>
        <v/>
      </c>
      <c r="C199" s="40" t="str">
        <f>IF(A199="","",COUNTIFS('Trade Log'!B:B,A199,'Trade Log'!Q:Q,"WIN"))</f>
        <v/>
      </c>
      <c r="D199" s="40" t="str">
        <f>IF(A199="","",COUNTIFS('Trade Log'!B:B,A199,'Trade Log'!Q:Q,"LOSS"))</f>
        <v/>
      </c>
      <c r="E199" s="41" t="str">
        <f t="shared" si="3"/>
        <v>-</v>
      </c>
      <c r="F199" s="42" t="str">
        <f>IF(A199="","",SUMIF('Trade Log'!B:B,A199,'Trade Log'!N:N))</f>
        <v/>
      </c>
      <c r="G199" s="42" t="str">
        <f>IF(A199="","",SUM($F$3:F199))</f>
        <v/>
      </c>
    </row>
    <row r="200" spans="1:7" ht="15" customHeight="1" x14ac:dyDescent="0.2">
      <c r="A200" s="71"/>
      <c r="B200" s="40" t="str">
        <f>IF(A200="","",COUNTIF('Trade Log'!B:B,A200))</f>
        <v/>
      </c>
      <c r="C200" s="40" t="str">
        <f>IF(A200="","",COUNTIFS('Trade Log'!B:B,A200,'Trade Log'!Q:Q,"WIN"))</f>
        <v/>
      </c>
      <c r="D200" s="40" t="str">
        <f>IF(A200="","",COUNTIFS('Trade Log'!B:B,A200,'Trade Log'!Q:Q,"LOSS"))</f>
        <v/>
      </c>
      <c r="E200" s="41" t="str">
        <f t="shared" si="3"/>
        <v>-</v>
      </c>
      <c r="F200" s="42" t="str">
        <f>IF(A200="","",SUMIF('Trade Log'!B:B,A200,'Trade Log'!N:N))</f>
        <v/>
      </c>
      <c r="G200" s="42" t="str">
        <f>IF(A200="","",SUM($F$3:F200))</f>
        <v/>
      </c>
    </row>
    <row r="201" spans="1:7" ht="15" customHeight="1" x14ac:dyDescent="0.2">
      <c r="A201" s="71"/>
      <c r="B201" s="40" t="str">
        <f>IF(A201="","",COUNTIF('Trade Log'!B:B,A201))</f>
        <v/>
      </c>
      <c r="C201" s="40" t="str">
        <f>IF(A201="","",COUNTIFS('Trade Log'!B:B,A201,'Trade Log'!Q:Q,"WIN"))</f>
        <v/>
      </c>
      <c r="D201" s="40" t="str">
        <f>IF(A201="","",COUNTIFS('Trade Log'!B:B,A201,'Trade Log'!Q:Q,"LOSS"))</f>
        <v/>
      </c>
      <c r="E201" s="41" t="str">
        <f t="shared" si="3"/>
        <v>-</v>
      </c>
      <c r="F201" s="42" t="str">
        <f>IF(A201="","",SUMIF('Trade Log'!B:B,A201,'Trade Log'!N:N))</f>
        <v/>
      </c>
      <c r="G201" s="42" t="str">
        <f>IF(A201="","",SUM($F$3:F201))</f>
        <v/>
      </c>
    </row>
    <row r="202" spans="1:7" ht="15" customHeight="1" x14ac:dyDescent="0.2">
      <c r="A202" s="71"/>
      <c r="B202" s="40" t="str">
        <f>IF(A202="","",COUNTIF('Trade Log'!B:B,A202))</f>
        <v/>
      </c>
      <c r="C202" s="40" t="str">
        <f>IF(A202="","",COUNTIFS('Trade Log'!B:B,A202,'Trade Log'!Q:Q,"WIN"))</f>
        <v/>
      </c>
      <c r="D202" s="40" t="str">
        <f>IF(A202="","",COUNTIFS('Trade Log'!B:B,A202,'Trade Log'!Q:Q,"LOSS"))</f>
        <v/>
      </c>
      <c r="E202" s="41" t="str">
        <f t="shared" si="3"/>
        <v>-</v>
      </c>
      <c r="F202" s="42" t="str">
        <f>IF(A202="","",SUMIF('Trade Log'!B:B,A202,'Trade Log'!N:N))</f>
        <v/>
      </c>
      <c r="G202" s="42" t="str">
        <f>IF(A202="","",SUM($F$3:F202))</f>
        <v/>
      </c>
    </row>
    <row r="203" spans="1:7" ht="15" customHeight="1" x14ac:dyDescent="0.2">
      <c r="A203" s="71"/>
      <c r="B203" s="40" t="str">
        <f>IF(A203="","",COUNTIF('Trade Log'!B:B,A203))</f>
        <v/>
      </c>
      <c r="C203" s="40" t="str">
        <f>IF(A203="","",COUNTIFS('Trade Log'!B:B,A203,'Trade Log'!Q:Q,"WIN"))</f>
        <v/>
      </c>
      <c r="D203" s="40" t="str">
        <f>IF(A203="","",COUNTIFS('Trade Log'!B:B,A203,'Trade Log'!Q:Q,"LOSS"))</f>
        <v/>
      </c>
      <c r="E203" s="41" t="str">
        <f t="shared" si="3"/>
        <v>-</v>
      </c>
      <c r="F203" s="42" t="str">
        <f>IF(A203="","",SUMIF('Trade Log'!B:B,A203,'Trade Log'!N:N))</f>
        <v/>
      </c>
      <c r="G203" s="42" t="str">
        <f>IF(A203="","",SUM($F$3:F203))</f>
        <v/>
      </c>
    </row>
    <row r="204" spans="1:7" ht="15" customHeight="1" x14ac:dyDescent="0.2">
      <c r="A204" s="71"/>
      <c r="B204" s="40" t="str">
        <f>IF(A204="","",COUNTIF('Trade Log'!B:B,A204))</f>
        <v/>
      </c>
      <c r="C204" s="40" t="str">
        <f>IF(A204="","",COUNTIFS('Trade Log'!B:B,A204,'Trade Log'!Q:Q,"WIN"))</f>
        <v/>
      </c>
      <c r="D204" s="40" t="str">
        <f>IF(A204="","",COUNTIFS('Trade Log'!B:B,A204,'Trade Log'!Q:Q,"LOSS"))</f>
        <v/>
      </c>
      <c r="E204" s="41" t="str">
        <f t="shared" si="3"/>
        <v>-</v>
      </c>
      <c r="F204" s="42" t="str">
        <f>IF(A204="","",SUMIF('Trade Log'!B:B,A204,'Trade Log'!N:N))</f>
        <v/>
      </c>
      <c r="G204" s="42" t="str">
        <f>IF(A204="","",SUM($F$3:F204))</f>
        <v/>
      </c>
    </row>
    <row r="205" spans="1:7" ht="15" customHeight="1" x14ac:dyDescent="0.2">
      <c r="A205" s="71"/>
      <c r="B205" s="40" t="str">
        <f>IF(A205="","",COUNTIF('Trade Log'!B:B,A205))</f>
        <v/>
      </c>
      <c r="C205" s="40" t="str">
        <f>IF(A205="","",COUNTIFS('Trade Log'!B:B,A205,'Trade Log'!Q:Q,"WIN"))</f>
        <v/>
      </c>
      <c r="D205" s="40" t="str">
        <f>IF(A205="","",COUNTIFS('Trade Log'!B:B,A205,'Trade Log'!Q:Q,"LOSS"))</f>
        <v/>
      </c>
      <c r="E205" s="41" t="str">
        <f t="shared" si="3"/>
        <v>-</v>
      </c>
      <c r="F205" s="42" t="str">
        <f>IF(A205="","",SUMIF('Trade Log'!B:B,A205,'Trade Log'!N:N))</f>
        <v/>
      </c>
      <c r="G205" s="42" t="str">
        <f>IF(A205="","",SUM($F$3:F205))</f>
        <v/>
      </c>
    </row>
    <row r="206" spans="1:7" ht="15" customHeight="1" x14ac:dyDescent="0.2">
      <c r="A206" s="71"/>
      <c r="B206" s="40" t="str">
        <f>IF(A206="","",COUNTIF('Trade Log'!B:B,A206))</f>
        <v/>
      </c>
      <c r="C206" s="40" t="str">
        <f>IF(A206="","",COUNTIFS('Trade Log'!B:B,A206,'Trade Log'!Q:Q,"WIN"))</f>
        <v/>
      </c>
      <c r="D206" s="40" t="str">
        <f>IF(A206="","",COUNTIFS('Trade Log'!B:B,A206,'Trade Log'!Q:Q,"LOSS"))</f>
        <v/>
      </c>
      <c r="E206" s="41" t="str">
        <f t="shared" si="3"/>
        <v>-</v>
      </c>
      <c r="F206" s="42" t="str">
        <f>IF(A206="","",SUMIF('Trade Log'!B:B,A206,'Trade Log'!N:N))</f>
        <v/>
      </c>
      <c r="G206" s="42" t="str">
        <f>IF(A206="","",SUM($F$3:F206))</f>
        <v/>
      </c>
    </row>
    <row r="207" spans="1:7" ht="15" customHeight="1" x14ac:dyDescent="0.2">
      <c r="A207" s="71"/>
      <c r="B207" s="40" t="str">
        <f>IF(A207="","",COUNTIF('Trade Log'!B:B,A207))</f>
        <v/>
      </c>
      <c r="C207" s="40" t="str">
        <f>IF(A207="","",COUNTIFS('Trade Log'!B:B,A207,'Trade Log'!Q:Q,"WIN"))</f>
        <v/>
      </c>
      <c r="D207" s="40" t="str">
        <f>IF(A207="","",COUNTIFS('Trade Log'!B:B,A207,'Trade Log'!Q:Q,"LOSS"))</f>
        <v/>
      </c>
      <c r="E207" s="41" t="str">
        <f t="shared" si="3"/>
        <v>-</v>
      </c>
      <c r="F207" s="42" t="str">
        <f>IF(A207="","",SUMIF('Trade Log'!B:B,A207,'Trade Log'!N:N))</f>
        <v/>
      </c>
      <c r="G207" s="42" t="str">
        <f>IF(A207="","",SUM($F$3:F207))</f>
        <v/>
      </c>
    </row>
    <row r="208" spans="1:7" ht="15" customHeight="1" x14ac:dyDescent="0.2">
      <c r="A208" s="71"/>
      <c r="B208" s="40" t="str">
        <f>IF(A208="","",COUNTIF('Trade Log'!B:B,A208))</f>
        <v/>
      </c>
      <c r="C208" s="40" t="str">
        <f>IF(A208="","",COUNTIFS('Trade Log'!B:B,A208,'Trade Log'!Q:Q,"WIN"))</f>
        <v/>
      </c>
      <c r="D208" s="40" t="str">
        <f>IF(A208="","",COUNTIFS('Trade Log'!B:B,A208,'Trade Log'!Q:Q,"LOSS"))</f>
        <v/>
      </c>
      <c r="E208" s="41" t="str">
        <f t="shared" si="3"/>
        <v>-</v>
      </c>
      <c r="F208" s="42" t="str">
        <f>IF(A208="","",SUMIF('Trade Log'!B:B,A208,'Trade Log'!N:N))</f>
        <v/>
      </c>
      <c r="G208" s="42" t="str">
        <f>IF(A208="","",SUM($F$3:F208))</f>
        <v/>
      </c>
    </row>
    <row r="209" spans="1:7" ht="15" customHeight="1" x14ac:dyDescent="0.2">
      <c r="A209" s="71"/>
      <c r="B209" s="40" t="str">
        <f>IF(A209="","",COUNTIF('Trade Log'!B:B,A209))</f>
        <v/>
      </c>
      <c r="C209" s="40" t="str">
        <f>IF(A209="","",COUNTIFS('Trade Log'!B:B,A209,'Trade Log'!Q:Q,"WIN"))</f>
        <v/>
      </c>
      <c r="D209" s="40" t="str">
        <f>IF(A209="","",COUNTIFS('Trade Log'!B:B,A209,'Trade Log'!Q:Q,"LOSS"))</f>
        <v/>
      </c>
      <c r="E209" s="41" t="str">
        <f t="shared" si="3"/>
        <v>-</v>
      </c>
      <c r="F209" s="42" t="str">
        <f>IF(A209="","",SUMIF('Trade Log'!B:B,A209,'Trade Log'!N:N))</f>
        <v/>
      </c>
      <c r="G209" s="42" t="str">
        <f>IF(A209="","",SUM($F$3:F209))</f>
        <v/>
      </c>
    </row>
    <row r="210" spans="1:7" ht="15" customHeight="1" x14ac:dyDescent="0.2">
      <c r="A210" s="71"/>
      <c r="B210" s="40" t="str">
        <f>IF(A210="","",COUNTIF('Trade Log'!B:B,A210))</f>
        <v/>
      </c>
      <c r="C210" s="40" t="str">
        <f>IF(A210="","",COUNTIFS('Trade Log'!B:B,A210,'Trade Log'!Q:Q,"WIN"))</f>
        <v/>
      </c>
      <c r="D210" s="40" t="str">
        <f>IF(A210="","",COUNTIFS('Trade Log'!B:B,A210,'Trade Log'!Q:Q,"LOSS"))</f>
        <v/>
      </c>
      <c r="E210" s="41" t="str">
        <f t="shared" si="3"/>
        <v>-</v>
      </c>
      <c r="F210" s="42" t="str">
        <f>IF(A210="","",SUMIF('Trade Log'!B:B,A210,'Trade Log'!N:N))</f>
        <v/>
      </c>
      <c r="G210" s="42" t="str">
        <f>IF(A210="","",SUM($F$3:F210))</f>
        <v/>
      </c>
    </row>
    <row r="211" spans="1:7" ht="15" customHeight="1" x14ac:dyDescent="0.2">
      <c r="A211" s="71"/>
      <c r="B211" s="40" t="str">
        <f>IF(A211="","",COUNTIF('Trade Log'!B:B,A211))</f>
        <v/>
      </c>
      <c r="C211" s="40" t="str">
        <f>IF(A211="","",COUNTIFS('Trade Log'!B:B,A211,'Trade Log'!Q:Q,"WIN"))</f>
        <v/>
      </c>
      <c r="D211" s="40" t="str">
        <f>IF(A211="","",COUNTIFS('Trade Log'!B:B,A211,'Trade Log'!Q:Q,"LOSS"))</f>
        <v/>
      </c>
      <c r="E211" s="41" t="str">
        <f t="shared" si="3"/>
        <v>-</v>
      </c>
      <c r="F211" s="42" t="str">
        <f>IF(A211="","",SUMIF('Trade Log'!B:B,A211,'Trade Log'!N:N))</f>
        <v/>
      </c>
      <c r="G211" s="42" t="str">
        <f>IF(A211="","",SUM($F$3:F211))</f>
        <v/>
      </c>
    </row>
    <row r="212" spans="1:7" ht="15" customHeight="1" x14ac:dyDescent="0.2">
      <c r="A212" s="71"/>
      <c r="B212" s="40" t="str">
        <f>IF(A212="","",COUNTIF('Trade Log'!B:B,A212))</f>
        <v/>
      </c>
      <c r="C212" s="40" t="str">
        <f>IF(A212="","",COUNTIFS('Trade Log'!B:B,A212,'Trade Log'!Q:Q,"WIN"))</f>
        <v/>
      </c>
      <c r="D212" s="40" t="str">
        <f>IF(A212="","",COUNTIFS('Trade Log'!B:B,A212,'Trade Log'!Q:Q,"LOSS"))</f>
        <v/>
      </c>
      <c r="E212" s="41" t="str">
        <f t="shared" si="3"/>
        <v>-</v>
      </c>
      <c r="F212" s="42" t="str">
        <f>IF(A212="","",SUMIF('Trade Log'!B:B,A212,'Trade Log'!N:N))</f>
        <v/>
      </c>
      <c r="G212" s="42" t="str">
        <f>IF(A212="","",SUM($F$3:F212))</f>
        <v/>
      </c>
    </row>
    <row r="213" spans="1:7" ht="15" customHeight="1" x14ac:dyDescent="0.2">
      <c r="A213" s="71"/>
      <c r="B213" s="40" t="str">
        <f>IF(A213="","",COUNTIF('Trade Log'!B:B,A213))</f>
        <v/>
      </c>
      <c r="C213" s="40" t="str">
        <f>IF(A213="","",COUNTIFS('Trade Log'!B:B,A213,'Trade Log'!Q:Q,"WIN"))</f>
        <v/>
      </c>
      <c r="D213" s="40" t="str">
        <f>IF(A213="","",COUNTIFS('Trade Log'!B:B,A213,'Trade Log'!Q:Q,"LOSS"))</f>
        <v/>
      </c>
      <c r="E213" s="41" t="str">
        <f t="shared" si="3"/>
        <v>-</v>
      </c>
      <c r="F213" s="42" t="str">
        <f>IF(A213="","",SUMIF('Trade Log'!B:B,A213,'Trade Log'!N:N))</f>
        <v/>
      </c>
      <c r="G213" s="42" t="str">
        <f>IF(A213="","",SUM($F$3:F213))</f>
        <v/>
      </c>
    </row>
    <row r="214" spans="1:7" ht="15" customHeight="1" x14ac:dyDescent="0.2">
      <c r="A214" s="71"/>
      <c r="B214" s="40" t="str">
        <f>IF(A214="","",COUNTIF('Trade Log'!B:B,A214))</f>
        <v/>
      </c>
      <c r="C214" s="40" t="str">
        <f>IF(A214="","",COUNTIFS('Trade Log'!B:B,A214,'Trade Log'!Q:Q,"WIN"))</f>
        <v/>
      </c>
      <c r="D214" s="40" t="str">
        <f>IF(A214="","",COUNTIFS('Trade Log'!B:B,A214,'Trade Log'!Q:Q,"LOSS"))</f>
        <v/>
      </c>
      <c r="E214" s="41" t="str">
        <f t="shared" si="3"/>
        <v>-</v>
      </c>
      <c r="F214" s="42" t="str">
        <f>IF(A214="","",SUMIF('Trade Log'!B:B,A214,'Trade Log'!N:N))</f>
        <v/>
      </c>
      <c r="G214" s="42" t="str">
        <f>IF(A214="","",SUM($F$3:F214))</f>
        <v/>
      </c>
    </row>
    <row r="215" spans="1:7" ht="15" customHeight="1" x14ac:dyDescent="0.2">
      <c r="A215" s="71"/>
      <c r="B215" s="40" t="str">
        <f>IF(A215="","",COUNTIF('Trade Log'!B:B,A215))</f>
        <v/>
      </c>
      <c r="C215" s="40" t="str">
        <f>IF(A215="","",COUNTIFS('Trade Log'!B:B,A215,'Trade Log'!Q:Q,"WIN"))</f>
        <v/>
      </c>
      <c r="D215" s="40" t="str">
        <f>IF(A215="","",COUNTIFS('Trade Log'!B:B,A215,'Trade Log'!Q:Q,"LOSS"))</f>
        <v/>
      </c>
      <c r="E215" s="41" t="str">
        <f t="shared" si="3"/>
        <v>-</v>
      </c>
      <c r="F215" s="42" t="str">
        <f>IF(A215="","",SUMIF('Trade Log'!B:B,A215,'Trade Log'!N:N))</f>
        <v/>
      </c>
      <c r="G215" s="42" t="str">
        <f>IF(A215="","",SUM($F$3:F215))</f>
        <v/>
      </c>
    </row>
    <row r="216" spans="1:7" ht="15" customHeight="1" x14ac:dyDescent="0.2">
      <c r="A216" s="71"/>
      <c r="B216" s="40" t="str">
        <f>IF(A216="","",COUNTIF('Trade Log'!B:B,A216))</f>
        <v/>
      </c>
      <c r="C216" s="40" t="str">
        <f>IF(A216="","",COUNTIFS('Trade Log'!B:B,A216,'Trade Log'!Q:Q,"WIN"))</f>
        <v/>
      </c>
      <c r="D216" s="40" t="str">
        <f>IF(A216="","",COUNTIFS('Trade Log'!B:B,A216,'Trade Log'!Q:Q,"LOSS"))</f>
        <v/>
      </c>
      <c r="E216" s="41" t="str">
        <f t="shared" si="3"/>
        <v>-</v>
      </c>
      <c r="F216" s="42" t="str">
        <f>IF(A216="","",SUMIF('Trade Log'!B:B,A216,'Trade Log'!N:N))</f>
        <v/>
      </c>
      <c r="G216" s="42" t="str">
        <f>IF(A216="","",SUM($F$3:F216))</f>
        <v/>
      </c>
    </row>
    <row r="217" spans="1:7" ht="15" customHeight="1" x14ac:dyDescent="0.2">
      <c r="A217" s="71"/>
      <c r="B217" s="40" t="str">
        <f>IF(A217="","",COUNTIF('Trade Log'!B:B,A217))</f>
        <v/>
      </c>
      <c r="C217" s="40" t="str">
        <f>IF(A217="","",COUNTIFS('Trade Log'!B:B,A217,'Trade Log'!Q:Q,"WIN"))</f>
        <v/>
      </c>
      <c r="D217" s="40" t="str">
        <f>IF(A217="","",COUNTIFS('Trade Log'!B:B,A217,'Trade Log'!Q:Q,"LOSS"))</f>
        <v/>
      </c>
      <c r="E217" s="41" t="str">
        <f t="shared" si="3"/>
        <v>-</v>
      </c>
      <c r="F217" s="42" t="str">
        <f>IF(A217="","",SUMIF('Trade Log'!B:B,A217,'Trade Log'!N:N))</f>
        <v/>
      </c>
      <c r="G217" s="42" t="str">
        <f>IF(A217="","",SUM($F$3:F217))</f>
        <v/>
      </c>
    </row>
    <row r="218" spans="1:7" ht="15" customHeight="1" x14ac:dyDescent="0.2">
      <c r="A218" s="71"/>
      <c r="B218" s="40" t="str">
        <f>IF(A218="","",COUNTIF('Trade Log'!B:B,A218))</f>
        <v/>
      </c>
      <c r="C218" s="40" t="str">
        <f>IF(A218="","",COUNTIFS('Trade Log'!B:B,A218,'Trade Log'!Q:Q,"WIN"))</f>
        <v/>
      </c>
      <c r="D218" s="40" t="str">
        <f>IF(A218="","",COUNTIFS('Trade Log'!B:B,A218,'Trade Log'!Q:Q,"LOSS"))</f>
        <v/>
      </c>
      <c r="E218" s="41" t="str">
        <f t="shared" si="3"/>
        <v>-</v>
      </c>
      <c r="F218" s="42" t="str">
        <f>IF(A218="","",SUMIF('Trade Log'!B:B,A218,'Trade Log'!N:N))</f>
        <v/>
      </c>
      <c r="G218" s="42" t="str">
        <f>IF(A218="","",SUM($F$3:F218))</f>
        <v/>
      </c>
    </row>
    <row r="219" spans="1:7" ht="15" customHeight="1" x14ac:dyDescent="0.2">
      <c r="A219" s="71"/>
      <c r="B219" s="40" t="str">
        <f>IF(A219="","",COUNTIF('Trade Log'!B:B,A219))</f>
        <v/>
      </c>
      <c r="C219" s="40" t="str">
        <f>IF(A219="","",COUNTIFS('Trade Log'!B:B,A219,'Trade Log'!Q:Q,"WIN"))</f>
        <v/>
      </c>
      <c r="D219" s="40" t="str">
        <f>IF(A219="","",COUNTIFS('Trade Log'!B:B,A219,'Trade Log'!Q:Q,"LOSS"))</f>
        <v/>
      </c>
      <c r="E219" s="41" t="str">
        <f t="shared" si="3"/>
        <v>-</v>
      </c>
      <c r="F219" s="42" t="str">
        <f>IF(A219="","",SUMIF('Trade Log'!B:B,A219,'Trade Log'!N:N))</f>
        <v/>
      </c>
      <c r="G219" s="42" t="str">
        <f>IF(A219="","",SUM($F$3:F219))</f>
        <v/>
      </c>
    </row>
    <row r="220" spans="1:7" ht="15" customHeight="1" x14ac:dyDescent="0.2">
      <c r="A220" s="71"/>
      <c r="B220" s="40" t="str">
        <f>IF(A220="","",COUNTIF('Trade Log'!B:B,A220))</f>
        <v/>
      </c>
      <c r="C220" s="40" t="str">
        <f>IF(A220="","",COUNTIFS('Trade Log'!B:B,A220,'Trade Log'!Q:Q,"WIN"))</f>
        <v/>
      </c>
      <c r="D220" s="40" t="str">
        <f>IF(A220="","",COUNTIFS('Trade Log'!B:B,A220,'Trade Log'!Q:Q,"LOSS"))</f>
        <v/>
      </c>
      <c r="E220" s="41" t="str">
        <f t="shared" si="3"/>
        <v>-</v>
      </c>
      <c r="F220" s="42" t="str">
        <f>IF(A220="","",SUMIF('Trade Log'!B:B,A220,'Trade Log'!N:N))</f>
        <v/>
      </c>
      <c r="G220" s="42" t="str">
        <f>IF(A220="","",SUM($F$3:F220))</f>
        <v/>
      </c>
    </row>
    <row r="221" spans="1:7" ht="15" customHeight="1" x14ac:dyDescent="0.2">
      <c r="A221" s="71"/>
      <c r="B221" s="40" t="str">
        <f>IF(A221="","",COUNTIF('Trade Log'!B:B,A221))</f>
        <v/>
      </c>
      <c r="C221" s="40" t="str">
        <f>IF(A221="","",COUNTIFS('Trade Log'!B:B,A221,'Trade Log'!Q:Q,"WIN"))</f>
        <v/>
      </c>
      <c r="D221" s="40" t="str">
        <f>IF(A221="","",COUNTIFS('Trade Log'!B:B,A221,'Trade Log'!Q:Q,"LOSS"))</f>
        <v/>
      </c>
      <c r="E221" s="41" t="str">
        <f t="shared" si="3"/>
        <v>-</v>
      </c>
      <c r="F221" s="42" t="str">
        <f>IF(A221="","",SUMIF('Trade Log'!B:B,A221,'Trade Log'!N:N))</f>
        <v/>
      </c>
      <c r="G221" s="42" t="str">
        <f>IF(A221="","",SUM($F$3:F221))</f>
        <v/>
      </c>
    </row>
    <row r="222" spans="1:7" ht="15" customHeight="1" x14ac:dyDescent="0.2">
      <c r="A222" s="71"/>
      <c r="B222" s="40" t="str">
        <f>IF(A222="","",COUNTIF('Trade Log'!B:B,A222))</f>
        <v/>
      </c>
      <c r="C222" s="40" t="str">
        <f>IF(A222="","",COUNTIFS('Trade Log'!B:B,A222,'Trade Log'!Q:Q,"WIN"))</f>
        <v/>
      </c>
      <c r="D222" s="40" t="str">
        <f>IF(A222="","",COUNTIFS('Trade Log'!B:B,A222,'Trade Log'!Q:Q,"LOSS"))</f>
        <v/>
      </c>
      <c r="E222" s="41" t="str">
        <f t="shared" si="3"/>
        <v>-</v>
      </c>
      <c r="F222" s="42" t="str">
        <f>IF(A222="","",SUMIF('Trade Log'!B:B,A222,'Trade Log'!N:N))</f>
        <v/>
      </c>
      <c r="G222" s="42" t="str">
        <f>IF(A222="","",SUM($F$3:F222))</f>
        <v/>
      </c>
    </row>
    <row r="223" spans="1:7" ht="15" customHeight="1" x14ac:dyDescent="0.2">
      <c r="A223" s="71"/>
      <c r="B223" s="40" t="str">
        <f>IF(A223="","",COUNTIF('Trade Log'!B:B,A223))</f>
        <v/>
      </c>
      <c r="C223" s="40" t="str">
        <f>IF(A223="","",COUNTIFS('Trade Log'!B:B,A223,'Trade Log'!Q:Q,"WIN"))</f>
        <v/>
      </c>
      <c r="D223" s="40" t="str">
        <f>IF(A223="","",COUNTIFS('Trade Log'!B:B,A223,'Trade Log'!Q:Q,"LOSS"))</f>
        <v/>
      </c>
      <c r="E223" s="41" t="str">
        <f t="shared" si="3"/>
        <v>-</v>
      </c>
      <c r="F223" s="42" t="str">
        <f>IF(A223="","",SUMIF('Trade Log'!B:B,A223,'Trade Log'!N:N))</f>
        <v/>
      </c>
      <c r="G223" s="42" t="str">
        <f>IF(A223="","",SUM($F$3:F223))</f>
        <v/>
      </c>
    </row>
    <row r="224" spans="1:7" ht="15" customHeight="1" x14ac:dyDescent="0.2">
      <c r="A224" s="71"/>
      <c r="B224" s="40" t="str">
        <f>IF(A224="","",COUNTIF('Trade Log'!B:B,A224))</f>
        <v/>
      </c>
      <c r="C224" s="40" t="str">
        <f>IF(A224="","",COUNTIFS('Trade Log'!B:B,A224,'Trade Log'!Q:Q,"WIN"))</f>
        <v/>
      </c>
      <c r="D224" s="40" t="str">
        <f>IF(A224="","",COUNTIFS('Trade Log'!B:B,A224,'Trade Log'!Q:Q,"LOSS"))</f>
        <v/>
      </c>
      <c r="E224" s="41" t="str">
        <f t="shared" si="3"/>
        <v>-</v>
      </c>
      <c r="F224" s="42" t="str">
        <f>IF(A224="","",SUMIF('Trade Log'!B:B,A224,'Trade Log'!N:N))</f>
        <v/>
      </c>
      <c r="G224" s="42" t="str">
        <f>IF(A224="","",SUM($F$3:F224))</f>
        <v/>
      </c>
    </row>
    <row r="225" spans="1:7" ht="15" customHeight="1" x14ac:dyDescent="0.2">
      <c r="A225" s="71"/>
      <c r="B225" s="40" t="str">
        <f>IF(A225="","",COUNTIF('Trade Log'!B:B,A225))</f>
        <v/>
      </c>
      <c r="C225" s="40" t="str">
        <f>IF(A225="","",COUNTIFS('Trade Log'!B:B,A225,'Trade Log'!Q:Q,"WIN"))</f>
        <v/>
      </c>
      <c r="D225" s="40" t="str">
        <f>IF(A225="","",COUNTIFS('Trade Log'!B:B,A225,'Trade Log'!Q:Q,"LOSS"))</f>
        <v/>
      </c>
      <c r="E225" s="41" t="str">
        <f t="shared" si="3"/>
        <v>-</v>
      </c>
      <c r="F225" s="42" t="str">
        <f>IF(A225="","",SUMIF('Trade Log'!B:B,A225,'Trade Log'!N:N))</f>
        <v/>
      </c>
      <c r="G225" s="42" t="str">
        <f>IF(A225="","",SUM($F$3:F225))</f>
        <v/>
      </c>
    </row>
    <row r="226" spans="1:7" ht="15" customHeight="1" x14ac:dyDescent="0.2">
      <c r="A226" s="71"/>
      <c r="B226" s="40" t="str">
        <f>IF(A226="","",COUNTIF('Trade Log'!B:B,A226))</f>
        <v/>
      </c>
      <c r="C226" s="40" t="str">
        <f>IF(A226="","",COUNTIFS('Trade Log'!B:B,A226,'Trade Log'!Q:Q,"WIN"))</f>
        <v/>
      </c>
      <c r="D226" s="40" t="str">
        <f>IF(A226="","",COUNTIFS('Trade Log'!B:B,A226,'Trade Log'!Q:Q,"LOSS"))</f>
        <v/>
      </c>
      <c r="E226" s="41" t="str">
        <f t="shared" si="3"/>
        <v>-</v>
      </c>
      <c r="F226" s="42" t="str">
        <f>IF(A226="","",SUMIF('Trade Log'!B:B,A226,'Trade Log'!N:N))</f>
        <v/>
      </c>
      <c r="G226" s="42" t="str">
        <f>IF(A226="","",SUM($F$3:F226))</f>
        <v/>
      </c>
    </row>
    <row r="227" spans="1:7" ht="15" customHeight="1" x14ac:dyDescent="0.2">
      <c r="A227" s="71"/>
      <c r="B227" s="40" t="str">
        <f>IF(A227="","",COUNTIF('Trade Log'!B:B,A227))</f>
        <v/>
      </c>
      <c r="C227" s="40" t="str">
        <f>IF(A227="","",COUNTIFS('Trade Log'!B:B,A227,'Trade Log'!Q:Q,"WIN"))</f>
        <v/>
      </c>
      <c r="D227" s="40" t="str">
        <f>IF(A227="","",COUNTIFS('Trade Log'!B:B,A227,'Trade Log'!Q:Q,"LOSS"))</f>
        <v/>
      </c>
      <c r="E227" s="41" t="str">
        <f t="shared" si="3"/>
        <v>-</v>
      </c>
      <c r="F227" s="42" t="str">
        <f>IF(A227="","",SUMIF('Trade Log'!B:B,A227,'Trade Log'!N:N))</f>
        <v/>
      </c>
      <c r="G227" s="42" t="str">
        <f>IF(A227="","",SUM($F$3:F227))</f>
        <v/>
      </c>
    </row>
    <row r="228" spans="1:7" ht="15" customHeight="1" x14ac:dyDescent="0.2">
      <c r="A228" s="71"/>
      <c r="B228" s="40" t="str">
        <f>IF(A228="","",COUNTIF('Trade Log'!B:B,A228))</f>
        <v/>
      </c>
      <c r="C228" s="40" t="str">
        <f>IF(A228="","",COUNTIFS('Trade Log'!B:B,A228,'Trade Log'!Q:Q,"WIN"))</f>
        <v/>
      </c>
      <c r="D228" s="40" t="str">
        <f>IF(A228="","",COUNTIFS('Trade Log'!B:B,A228,'Trade Log'!Q:Q,"LOSS"))</f>
        <v/>
      </c>
      <c r="E228" s="41" t="str">
        <f t="shared" si="3"/>
        <v>-</v>
      </c>
      <c r="F228" s="42" t="str">
        <f>IF(A228="","",SUMIF('Trade Log'!B:B,A228,'Trade Log'!N:N))</f>
        <v/>
      </c>
      <c r="G228" s="42" t="str">
        <f>IF(A228="","",SUM($F$3:F228))</f>
        <v/>
      </c>
    </row>
    <row r="229" spans="1:7" ht="15" customHeight="1" x14ac:dyDescent="0.2">
      <c r="A229" s="71"/>
      <c r="B229" s="40" t="str">
        <f>IF(A229="","",COUNTIF('Trade Log'!B:B,A229))</f>
        <v/>
      </c>
      <c r="C229" s="40" t="str">
        <f>IF(A229="","",COUNTIFS('Trade Log'!B:B,A229,'Trade Log'!Q:Q,"WIN"))</f>
        <v/>
      </c>
      <c r="D229" s="40" t="str">
        <f>IF(A229="","",COUNTIFS('Trade Log'!B:B,A229,'Trade Log'!Q:Q,"LOSS"))</f>
        <v/>
      </c>
      <c r="E229" s="41" t="str">
        <f t="shared" si="3"/>
        <v>-</v>
      </c>
      <c r="F229" s="42" t="str">
        <f>IF(A229="","",SUMIF('Trade Log'!B:B,A229,'Trade Log'!N:N))</f>
        <v/>
      </c>
      <c r="G229" s="42" t="str">
        <f>IF(A229="","",SUM($F$3:F229))</f>
        <v/>
      </c>
    </row>
    <row r="230" spans="1:7" ht="15" customHeight="1" x14ac:dyDescent="0.2">
      <c r="A230" s="71"/>
      <c r="B230" s="40" t="str">
        <f>IF(A230="","",COUNTIF('Trade Log'!B:B,A230))</f>
        <v/>
      </c>
      <c r="C230" s="40" t="str">
        <f>IF(A230="","",COUNTIFS('Trade Log'!B:B,A230,'Trade Log'!Q:Q,"WIN"))</f>
        <v/>
      </c>
      <c r="D230" s="40" t="str">
        <f>IF(A230="","",COUNTIFS('Trade Log'!B:B,A230,'Trade Log'!Q:Q,"LOSS"))</f>
        <v/>
      </c>
      <c r="E230" s="41" t="str">
        <f t="shared" si="3"/>
        <v>-</v>
      </c>
      <c r="F230" s="42" t="str">
        <f>IF(A230="","",SUMIF('Trade Log'!B:B,A230,'Trade Log'!N:N))</f>
        <v/>
      </c>
      <c r="G230" s="42" t="str">
        <f>IF(A230="","",SUM($F$3:F230))</f>
        <v/>
      </c>
    </row>
    <row r="231" spans="1:7" ht="15" customHeight="1" x14ac:dyDescent="0.2">
      <c r="A231" s="71"/>
      <c r="B231" s="40" t="str">
        <f>IF(A231="","",COUNTIF('Trade Log'!B:B,A231))</f>
        <v/>
      </c>
      <c r="C231" s="40" t="str">
        <f>IF(A231="","",COUNTIFS('Trade Log'!B:B,A231,'Trade Log'!Q:Q,"WIN"))</f>
        <v/>
      </c>
      <c r="D231" s="40" t="str">
        <f>IF(A231="","",COUNTIFS('Trade Log'!B:B,A231,'Trade Log'!Q:Q,"LOSS"))</f>
        <v/>
      </c>
      <c r="E231" s="41" t="str">
        <f t="shared" si="3"/>
        <v>-</v>
      </c>
      <c r="F231" s="42" t="str">
        <f>IF(A231="","",SUMIF('Trade Log'!B:B,A231,'Trade Log'!N:N))</f>
        <v/>
      </c>
      <c r="G231" s="42" t="str">
        <f>IF(A231="","",SUM($F$3:F231))</f>
        <v/>
      </c>
    </row>
    <row r="232" spans="1:7" ht="15" customHeight="1" x14ac:dyDescent="0.2">
      <c r="A232" s="71"/>
      <c r="B232" s="40" t="str">
        <f>IF(A232="","",COUNTIF('Trade Log'!B:B,A232))</f>
        <v/>
      </c>
      <c r="C232" s="40" t="str">
        <f>IF(A232="","",COUNTIFS('Trade Log'!B:B,A232,'Trade Log'!Q:Q,"WIN"))</f>
        <v/>
      </c>
      <c r="D232" s="40" t="str">
        <f>IF(A232="","",COUNTIFS('Trade Log'!B:B,A232,'Trade Log'!Q:Q,"LOSS"))</f>
        <v/>
      </c>
      <c r="E232" s="41" t="str">
        <f t="shared" si="3"/>
        <v>-</v>
      </c>
      <c r="F232" s="42" t="str">
        <f>IF(A232="","",SUMIF('Trade Log'!B:B,A232,'Trade Log'!N:N))</f>
        <v/>
      </c>
      <c r="G232" s="42" t="str">
        <f>IF(A232="","",SUM($F$3:F232))</f>
        <v/>
      </c>
    </row>
    <row r="233" spans="1:7" ht="15" customHeight="1" x14ac:dyDescent="0.2">
      <c r="A233" s="71"/>
      <c r="B233" s="40" t="str">
        <f>IF(A233="","",COUNTIF('Trade Log'!B:B,A233))</f>
        <v/>
      </c>
      <c r="C233" s="40" t="str">
        <f>IF(A233="","",COUNTIFS('Trade Log'!B:B,A233,'Trade Log'!Q:Q,"WIN"))</f>
        <v/>
      </c>
      <c r="D233" s="40" t="str">
        <f>IF(A233="","",COUNTIFS('Trade Log'!B:B,A233,'Trade Log'!Q:Q,"LOSS"))</f>
        <v/>
      </c>
      <c r="E233" s="41" t="str">
        <f t="shared" si="3"/>
        <v>-</v>
      </c>
      <c r="F233" s="42" t="str">
        <f>IF(A233="","",SUMIF('Trade Log'!B:B,A233,'Trade Log'!N:N))</f>
        <v/>
      </c>
      <c r="G233" s="42" t="str">
        <f>IF(A233="","",SUM($F$3:F233))</f>
        <v/>
      </c>
    </row>
    <row r="234" spans="1:7" ht="15" customHeight="1" x14ac:dyDescent="0.2">
      <c r="A234" s="71"/>
      <c r="B234" s="40" t="str">
        <f>IF(A234="","",COUNTIF('Trade Log'!B:B,A234))</f>
        <v/>
      </c>
      <c r="C234" s="40" t="str">
        <f>IF(A234="","",COUNTIFS('Trade Log'!B:B,A234,'Trade Log'!Q:Q,"WIN"))</f>
        <v/>
      </c>
      <c r="D234" s="40" t="str">
        <f>IF(A234="","",COUNTIFS('Trade Log'!B:B,A234,'Trade Log'!Q:Q,"LOSS"))</f>
        <v/>
      </c>
      <c r="E234" s="41" t="str">
        <f t="shared" si="3"/>
        <v>-</v>
      </c>
      <c r="F234" s="42" t="str">
        <f>IF(A234="","",SUMIF('Trade Log'!B:B,A234,'Trade Log'!N:N))</f>
        <v/>
      </c>
      <c r="G234" s="42" t="str">
        <f>IF(A234="","",SUM($F$3:F234))</f>
        <v/>
      </c>
    </row>
    <row r="235" spans="1:7" ht="15" customHeight="1" x14ac:dyDescent="0.2">
      <c r="A235" s="71"/>
      <c r="B235" s="40" t="str">
        <f>IF(A235="","",COUNTIF('Trade Log'!B:B,A235))</f>
        <v/>
      </c>
      <c r="C235" s="40" t="str">
        <f>IF(A235="","",COUNTIFS('Trade Log'!B:B,A235,'Trade Log'!Q:Q,"WIN"))</f>
        <v/>
      </c>
      <c r="D235" s="40" t="str">
        <f>IF(A235="","",COUNTIFS('Trade Log'!B:B,A235,'Trade Log'!Q:Q,"LOSS"))</f>
        <v/>
      </c>
      <c r="E235" s="41" t="str">
        <f t="shared" si="3"/>
        <v>-</v>
      </c>
      <c r="F235" s="42" t="str">
        <f>IF(A235="","",SUMIF('Trade Log'!B:B,A235,'Trade Log'!N:N))</f>
        <v/>
      </c>
      <c r="G235" s="42" t="str">
        <f>IF(A235="","",SUM($F$3:F235))</f>
        <v/>
      </c>
    </row>
    <row r="236" spans="1:7" ht="15" customHeight="1" x14ac:dyDescent="0.2">
      <c r="A236" s="71"/>
      <c r="B236" s="40" t="str">
        <f>IF(A236="","",COUNTIF('Trade Log'!B:B,A236))</f>
        <v/>
      </c>
      <c r="C236" s="40" t="str">
        <f>IF(A236="","",COUNTIFS('Trade Log'!B:B,A236,'Trade Log'!Q:Q,"WIN"))</f>
        <v/>
      </c>
      <c r="D236" s="40" t="str">
        <f>IF(A236="","",COUNTIFS('Trade Log'!B:B,A236,'Trade Log'!Q:Q,"LOSS"))</f>
        <v/>
      </c>
      <c r="E236" s="41" t="str">
        <f t="shared" si="3"/>
        <v>-</v>
      </c>
      <c r="F236" s="42" t="str">
        <f>IF(A236="","",SUMIF('Trade Log'!B:B,A236,'Trade Log'!N:N))</f>
        <v/>
      </c>
      <c r="G236" s="42" t="str">
        <f>IF(A236="","",SUM($F$3:F236))</f>
        <v/>
      </c>
    </row>
    <row r="237" spans="1:7" ht="15" customHeight="1" x14ac:dyDescent="0.2">
      <c r="A237" s="71"/>
      <c r="B237" s="40" t="str">
        <f>IF(A237="","",COUNTIF('Trade Log'!B:B,A237))</f>
        <v/>
      </c>
      <c r="C237" s="40" t="str">
        <f>IF(A237="","",COUNTIFS('Trade Log'!B:B,A237,'Trade Log'!Q:Q,"WIN"))</f>
        <v/>
      </c>
      <c r="D237" s="40" t="str">
        <f>IF(A237="","",COUNTIFS('Trade Log'!B:B,A237,'Trade Log'!Q:Q,"LOSS"))</f>
        <v/>
      </c>
      <c r="E237" s="41" t="str">
        <f t="shared" si="3"/>
        <v>-</v>
      </c>
      <c r="F237" s="42" t="str">
        <f>IF(A237="","",SUMIF('Trade Log'!B:B,A237,'Trade Log'!N:N))</f>
        <v/>
      </c>
      <c r="G237" s="42" t="str">
        <f>IF(A237="","",SUM($F$3:F237))</f>
        <v/>
      </c>
    </row>
    <row r="238" spans="1:7" ht="15" customHeight="1" x14ac:dyDescent="0.2">
      <c r="A238" s="71"/>
      <c r="B238" s="40" t="str">
        <f>IF(A238="","",COUNTIF('Trade Log'!B:B,A238))</f>
        <v/>
      </c>
      <c r="C238" s="40" t="str">
        <f>IF(A238="","",COUNTIFS('Trade Log'!B:B,A238,'Trade Log'!Q:Q,"WIN"))</f>
        <v/>
      </c>
      <c r="D238" s="40" t="str">
        <f>IF(A238="","",COUNTIFS('Trade Log'!B:B,A238,'Trade Log'!Q:Q,"LOSS"))</f>
        <v/>
      </c>
      <c r="E238" s="41" t="str">
        <f t="shared" si="3"/>
        <v>-</v>
      </c>
      <c r="F238" s="42" t="str">
        <f>IF(A238="","",SUMIF('Trade Log'!B:B,A238,'Trade Log'!N:N))</f>
        <v/>
      </c>
      <c r="G238" s="42" t="str">
        <f>IF(A238="","",SUM($F$3:F238))</f>
        <v/>
      </c>
    </row>
    <row r="239" spans="1:7" ht="15" customHeight="1" x14ac:dyDescent="0.2">
      <c r="A239" s="71"/>
      <c r="B239" s="40" t="str">
        <f>IF(A239="","",COUNTIF('Trade Log'!B:B,A239))</f>
        <v/>
      </c>
      <c r="C239" s="40" t="str">
        <f>IF(A239="","",COUNTIFS('Trade Log'!B:B,A239,'Trade Log'!Q:Q,"WIN"))</f>
        <v/>
      </c>
      <c r="D239" s="40" t="str">
        <f>IF(A239="","",COUNTIFS('Trade Log'!B:B,A239,'Trade Log'!Q:Q,"LOSS"))</f>
        <v/>
      </c>
      <c r="E239" s="41" t="str">
        <f t="shared" si="3"/>
        <v>-</v>
      </c>
      <c r="F239" s="42" t="str">
        <f>IF(A239="","",SUMIF('Trade Log'!B:B,A239,'Trade Log'!N:N))</f>
        <v/>
      </c>
      <c r="G239" s="42" t="str">
        <f>IF(A239="","",SUM($F$3:F239))</f>
        <v/>
      </c>
    </row>
    <row r="240" spans="1:7" ht="15" customHeight="1" x14ac:dyDescent="0.2">
      <c r="A240" s="71"/>
      <c r="B240" s="40" t="str">
        <f>IF(A240="","",COUNTIF('Trade Log'!B:B,A240))</f>
        <v/>
      </c>
      <c r="C240" s="40" t="str">
        <f>IF(A240="","",COUNTIFS('Trade Log'!B:B,A240,'Trade Log'!Q:Q,"WIN"))</f>
        <v/>
      </c>
      <c r="D240" s="40" t="str">
        <f>IF(A240="","",COUNTIFS('Trade Log'!B:B,A240,'Trade Log'!Q:Q,"LOSS"))</f>
        <v/>
      </c>
      <c r="E240" s="41" t="str">
        <f t="shared" si="3"/>
        <v>-</v>
      </c>
      <c r="F240" s="42" t="str">
        <f>IF(A240="","",SUMIF('Trade Log'!B:B,A240,'Trade Log'!N:N))</f>
        <v/>
      </c>
      <c r="G240" s="42" t="str">
        <f>IF(A240="","",SUM($F$3:F240))</f>
        <v/>
      </c>
    </row>
    <row r="241" spans="1:7" ht="15" customHeight="1" x14ac:dyDescent="0.2">
      <c r="A241" s="71"/>
      <c r="B241" s="40" t="str">
        <f>IF(A241="","",COUNTIF('Trade Log'!B:B,A241))</f>
        <v/>
      </c>
      <c r="C241" s="40" t="str">
        <f>IF(A241="","",COUNTIFS('Trade Log'!B:B,A241,'Trade Log'!Q:Q,"WIN"))</f>
        <v/>
      </c>
      <c r="D241" s="40" t="str">
        <f>IF(A241="","",COUNTIFS('Trade Log'!B:B,A241,'Trade Log'!Q:Q,"LOSS"))</f>
        <v/>
      </c>
      <c r="E241" s="41" t="str">
        <f t="shared" si="3"/>
        <v>-</v>
      </c>
      <c r="F241" s="42" t="str">
        <f>IF(A241="","",SUMIF('Trade Log'!B:B,A241,'Trade Log'!N:N))</f>
        <v/>
      </c>
      <c r="G241" s="42" t="str">
        <f>IF(A241="","",SUM($F$3:F241))</f>
        <v/>
      </c>
    </row>
    <row r="242" spans="1:7" ht="15" customHeight="1" x14ac:dyDescent="0.2">
      <c r="A242" s="71"/>
      <c r="B242" s="40" t="str">
        <f>IF(A242="","",COUNTIF('Trade Log'!B:B,A242))</f>
        <v/>
      </c>
      <c r="C242" s="40" t="str">
        <f>IF(A242="","",COUNTIFS('Trade Log'!B:B,A242,'Trade Log'!Q:Q,"WIN"))</f>
        <v/>
      </c>
      <c r="D242" s="40" t="str">
        <f>IF(A242="","",COUNTIFS('Trade Log'!B:B,A242,'Trade Log'!Q:Q,"LOSS"))</f>
        <v/>
      </c>
      <c r="E242" s="41" t="str">
        <f t="shared" si="3"/>
        <v>-</v>
      </c>
      <c r="F242" s="42" t="str">
        <f>IF(A242="","",SUMIF('Trade Log'!B:B,A242,'Trade Log'!N:N))</f>
        <v/>
      </c>
      <c r="G242" s="42" t="str">
        <f>IF(A242="","",SUM($F$3:F242))</f>
        <v/>
      </c>
    </row>
    <row r="243" spans="1:7" ht="15" customHeight="1" x14ac:dyDescent="0.2">
      <c r="A243" s="71"/>
      <c r="B243" s="40" t="str">
        <f>IF(A243="","",COUNTIF('Trade Log'!B:B,A243))</f>
        <v/>
      </c>
      <c r="C243" s="40" t="str">
        <f>IF(A243="","",COUNTIFS('Trade Log'!B:B,A243,'Trade Log'!Q:Q,"WIN"))</f>
        <v/>
      </c>
      <c r="D243" s="40" t="str">
        <f>IF(A243="","",COUNTIFS('Trade Log'!B:B,A243,'Trade Log'!Q:Q,"LOSS"))</f>
        <v/>
      </c>
      <c r="E243" s="41" t="str">
        <f t="shared" si="3"/>
        <v>-</v>
      </c>
      <c r="F243" s="42" t="str">
        <f>IF(A243="","",SUMIF('Trade Log'!B:B,A243,'Trade Log'!N:N))</f>
        <v/>
      </c>
      <c r="G243" s="42" t="str">
        <f>IF(A243="","",SUM($F$3:F243))</f>
        <v/>
      </c>
    </row>
    <row r="244" spans="1:7" ht="15" customHeight="1" x14ac:dyDescent="0.2">
      <c r="A244" s="71"/>
      <c r="B244" s="40" t="str">
        <f>IF(A244="","",COUNTIF('Trade Log'!B:B,A244))</f>
        <v/>
      </c>
      <c r="C244" s="40" t="str">
        <f>IF(A244="","",COUNTIFS('Trade Log'!B:B,A244,'Trade Log'!Q:Q,"WIN"))</f>
        <v/>
      </c>
      <c r="D244" s="40" t="str">
        <f>IF(A244="","",COUNTIFS('Trade Log'!B:B,A244,'Trade Log'!Q:Q,"LOSS"))</f>
        <v/>
      </c>
      <c r="E244" s="41" t="str">
        <f t="shared" si="3"/>
        <v>-</v>
      </c>
      <c r="F244" s="42" t="str">
        <f>IF(A244="","",SUMIF('Trade Log'!B:B,A244,'Trade Log'!N:N))</f>
        <v/>
      </c>
      <c r="G244" s="42" t="str">
        <f>IF(A244="","",SUM($F$3:F244))</f>
        <v/>
      </c>
    </row>
    <row r="245" spans="1:7" ht="15" customHeight="1" x14ac:dyDescent="0.2">
      <c r="A245" s="71"/>
      <c r="B245" s="40" t="str">
        <f>IF(A245="","",COUNTIF('Trade Log'!B:B,A245))</f>
        <v/>
      </c>
      <c r="C245" s="40" t="str">
        <f>IF(A245="","",COUNTIFS('Trade Log'!B:B,A245,'Trade Log'!Q:Q,"WIN"))</f>
        <v/>
      </c>
      <c r="D245" s="40" t="str">
        <f>IF(A245="","",COUNTIFS('Trade Log'!B:B,A245,'Trade Log'!Q:Q,"LOSS"))</f>
        <v/>
      </c>
      <c r="E245" s="41" t="str">
        <f t="shared" si="3"/>
        <v>-</v>
      </c>
      <c r="F245" s="42" t="str">
        <f>IF(A245="","",SUMIF('Trade Log'!B:B,A245,'Trade Log'!N:N))</f>
        <v/>
      </c>
      <c r="G245" s="42" t="str">
        <f>IF(A245="","",SUM($F$3:F245))</f>
        <v/>
      </c>
    </row>
    <row r="246" spans="1:7" ht="15" customHeight="1" x14ac:dyDescent="0.2">
      <c r="A246" s="71"/>
      <c r="B246" s="40" t="str">
        <f>IF(A246="","",COUNTIF('Trade Log'!B:B,A246))</f>
        <v/>
      </c>
      <c r="C246" s="40" t="str">
        <f>IF(A246="","",COUNTIFS('Trade Log'!B:B,A246,'Trade Log'!Q:Q,"WIN"))</f>
        <v/>
      </c>
      <c r="D246" s="40" t="str">
        <f>IF(A246="","",COUNTIFS('Trade Log'!B:B,A246,'Trade Log'!Q:Q,"LOSS"))</f>
        <v/>
      </c>
      <c r="E246" s="41" t="str">
        <f t="shared" si="3"/>
        <v>-</v>
      </c>
      <c r="F246" s="42" t="str">
        <f>IF(A246="","",SUMIF('Trade Log'!B:B,A246,'Trade Log'!N:N))</f>
        <v/>
      </c>
      <c r="G246" s="42" t="str">
        <f>IF(A246="","",SUM($F$3:F246))</f>
        <v/>
      </c>
    </row>
    <row r="247" spans="1:7" ht="15" customHeight="1" x14ac:dyDescent="0.2">
      <c r="A247" s="71"/>
      <c r="B247" s="40" t="str">
        <f>IF(A247="","",COUNTIF('Trade Log'!B:B,A247))</f>
        <v/>
      </c>
      <c r="C247" s="40" t="str">
        <f>IF(A247="","",COUNTIFS('Trade Log'!B:B,A247,'Trade Log'!Q:Q,"WIN"))</f>
        <v/>
      </c>
      <c r="D247" s="40" t="str">
        <f>IF(A247="","",COUNTIFS('Trade Log'!B:B,A247,'Trade Log'!Q:Q,"LOSS"))</f>
        <v/>
      </c>
      <c r="E247" s="41" t="str">
        <f t="shared" si="3"/>
        <v>-</v>
      </c>
      <c r="F247" s="42" t="str">
        <f>IF(A247="","",SUMIF('Trade Log'!B:B,A247,'Trade Log'!N:N))</f>
        <v/>
      </c>
      <c r="G247" s="42" t="str">
        <f>IF(A247="","",SUM($F$3:F247))</f>
        <v/>
      </c>
    </row>
    <row r="248" spans="1:7" ht="15" customHeight="1" x14ac:dyDescent="0.2">
      <c r="A248" s="71"/>
      <c r="B248" s="40" t="str">
        <f>IF(A248="","",COUNTIF('Trade Log'!B:B,A248))</f>
        <v/>
      </c>
      <c r="C248" s="40" t="str">
        <f>IF(A248="","",COUNTIFS('Trade Log'!B:B,A248,'Trade Log'!Q:Q,"WIN"))</f>
        <v/>
      </c>
      <c r="D248" s="40" t="str">
        <f>IF(A248="","",COUNTIFS('Trade Log'!B:B,A248,'Trade Log'!Q:Q,"LOSS"))</f>
        <v/>
      </c>
      <c r="E248" s="41" t="str">
        <f t="shared" si="3"/>
        <v>-</v>
      </c>
      <c r="F248" s="42" t="str">
        <f>IF(A248="","",SUMIF('Trade Log'!B:B,A248,'Trade Log'!N:N))</f>
        <v/>
      </c>
      <c r="G248" s="42" t="str">
        <f>IF(A248="","",SUM($F$3:F248))</f>
        <v/>
      </c>
    </row>
    <row r="249" spans="1:7" ht="15" customHeight="1" x14ac:dyDescent="0.2">
      <c r="A249" s="71"/>
      <c r="B249" s="40" t="str">
        <f>IF(A249="","",COUNTIF('Trade Log'!B:B,A249))</f>
        <v/>
      </c>
      <c r="C249" s="40" t="str">
        <f>IF(A249="","",COUNTIFS('Trade Log'!B:B,A249,'Trade Log'!Q:Q,"WIN"))</f>
        <v/>
      </c>
      <c r="D249" s="40" t="str">
        <f>IF(A249="","",COUNTIFS('Trade Log'!B:B,A249,'Trade Log'!Q:Q,"LOSS"))</f>
        <v/>
      </c>
      <c r="E249" s="41" t="str">
        <f t="shared" si="3"/>
        <v>-</v>
      </c>
      <c r="F249" s="42" t="str">
        <f>IF(A249="","",SUMIF('Trade Log'!B:B,A249,'Trade Log'!N:N))</f>
        <v/>
      </c>
      <c r="G249" s="42" t="str">
        <f>IF(A249="","",SUM($F$3:F249))</f>
        <v/>
      </c>
    </row>
    <row r="250" spans="1:7" ht="15" customHeight="1" x14ac:dyDescent="0.2">
      <c r="A250" s="71"/>
      <c r="B250" s="40" t="str">
        <f>IF(A250="","",COUNTIF('Trade Log'!B:B,A250))</f>
        <v/>
      </c>
      <c r="C250" s="40" t="str">
        <f>IF(A250="","",COUNTIFS('Trade Log'!B:B,A250,'Trade Log'!Q:Q,"WIN"))</f>
        <v/>
      </c>
      <c r="D250" s="40" t="str">
        <f>IF(A250="","",COUNTIFS('Trade Log'!B:B,A250,'Trade Log'!Q:Q,"LOSS"))</f>
        <v/>
      </c>
      <c r="E250" s="41" t="str">
        <f t="shared" si="3"/>
        <v>-</v>
      </c>
      <c r="F250" s="42" t="str">
        <f>IF(A250="","",SUMIF('Trade Log'!B:B,A250,'Trade Log'!N:N))</f>
        <v/>
      </c>
      <c r="G250" s="42" t="str">
        <f>IF(A250="","",SUM($F$3:F250))</f>
        <v/>
      </c>
    </row>
    <row r="251" spans="1:7" ht="15" customHeight="1" x14ac:dyDescent="0.2">
      <c r="A251" s="71"/>
      <c r="B251" s="40" t="str">
        <f>IF(A251="","",COUNTIF('Trade Log'!B:B,A251))</f>
        <v/>
      </c>
      <c r="C251" s="40" t="str">
        <f>IF(A251="","",COUNTIFS('Trade Log'!B:B,A251,'Trade Log'!Q:Q,"WIN"))</f>
        <v/>
      </c>
      <c r="D251" s="40" t="str">
        <f>IF(A251="","",COUNTIFS('Trade Log'!B:B,A251,'Trade Log'!Q:Q,"LOSS"))</f>
        <v/>
      </c>
      <c r="E251" s="41" t="str">
        <f t="shared" si="3"/>
        <v>-</v>
      </c>
      <c r="F251" s="42" t="str">
        <f>IF(A251="","",SUMIF('Trade Log'!B:B,A251,'Trade Log'!N:N))</f>
        <v/>
      </c>
      <c r="G251" s="42" t="str">
        <f>IF(A251="","",SUM($F$3:F251))</f>
        <v/>
      </c>
    </row>
    <row r="252" spans="1:7" ht="15" customHeight="1" x14ac:dyDescent="0.2">
      <c r="A252" s="71"/>
      <c r="B252" s="40" t="str">
        <f>IF(A252="","",COUNTIF('Trade Log'!B:B,A252))</f>
        <v/>
      </c>
      <c r="C252" s="40" t="str">
        <f>IF(A252="","",COUNTIFS('Trade Log'!B:B,A252,'Trade Log'!Q:Q,"WIN"))</f>
        <v/>
      </c>
      <c r="D252" s="40" t="str">
        <f>IF(A252="","",COUNTIFS('Trade Log'!B:B,A252,'Trade Log'!Q:Q,"LOSS"))</f>
        <v/>
      </c>
      <c r="E252" s="41" t="str">
        <f t="shared" si="3"/>
        <v>-</v>
      </c>
      <c r="F252" s="42" t="str">
        <f>IF(A252="","",SUMIF('Trade Log'!B:B,A252,'Trade Log'!N:N))</f>
        <v/>
      </c>
      <c r="G252" s="42" t="str">
        <f>IF(A252="","",SUM($F$3:F252))</f>
        <v/>
      </c>
    </row>
  </sheetData>
  <mergeCells count="1">
    <mergeCell ref="A1:G1"/>
  </mergeCells>
  <conditionalFormatting sqref="F3:F253">
    <cfRule type="cellIs" dxfId="1" priority="2" operator="greaterThan">
      <formula>0</formula>
    </cfRule>
    <cfRule type="cellIs" dxfId="0" priority="3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Trade Log</vt:lpstr>
      <vt:lpstr>Dashboard</vt:lpstr>
      <vt:lpstr>Behavioral</vt:lpstr>
      <vt:lpstr>Daily P&amp;L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jeffrey malkus</cp:lastModifiedBy>
  <cp:revision>0</cp:revision>
  <dcterms:created xsi:type="dcterms:W3CDTF">2026-03-06T21:49:21Z</dcterms:created>
  <dcterms:modified xsi:type="dcterms:W3CDTF">2026-03-21T15:42:46Z</dcterms:modified>
  <dc:language>en-US</dc:language>
</cp:coreProperties>
</file>