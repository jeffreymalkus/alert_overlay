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Behavioral" sheetId="4" state="visible" r:id="rId4"/>
    <sheet xmlns:r="http://schemas.openxmlformats.org/officeDocument/2006/relationships" name="Daily P&amp;L" sheetId="5" state="visible" r:id="rId5"/>
  </sheets>
  <definedNames>
    <definedName name="_xlnm._FilterDatabase" localSheetId="1" hidden="1">'Trade Log'!$A$1:$AC$1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\$#,##0.00"/>
    <numFmt numFmtId="166" formatCode="0.0%"/>
    <numFmt numFmtId="167" formatCode="0&quot; min&quot;"/>
    <numFmt numFmtId="168" formatCode="hh:mm"/>
    <numFmt numFmtId="169" formatCode="0.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1B2A4A"/>
      <sz val="14"/>
    </font>
    <font>
      <name val="Arial"/>
      <charset val="1"/>
      <family val="2"/>
      <b val="1"/>
      <color rgb="FF1B2A4A"/>
      <sz val="11"/>
    </font>
    <font>
      <name val="Arial"/>
      <charset val="1"/>
      <family val="2"/>
      <sz val="10"/>
    </font>
    <font>
      <name val="Arial"/>
      <charset val="1"/>
      <family val="2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7D32"/>
      <sz val="10"/>
    </font>
    <font>
      <name val="Arial"/>
      <charset val="1"/>
      <family val="0"/>
      <b val="1"/>
      <color rgb="FFC62828"/>
      <sz val="10"/>
    </font>
    <font>
      <name val="Arial"/>
      <charset val="1"/>
      <family val="2"/>
      <color rgb="FF666666"/>
      <sz val="9"/>
    </font>
    <font>
      <name val="Arial"/>
      <charset val="1"/>
      <family val="2"/>
      <b val="1"/>
      <color rgb="FF2E5090"/>
      <sz val="18"/>
    </font>
    <font>
      <name val="Arial"/>
      <charset val="1"/>
      <family val="2"/>
      <b val="1"/>
      <color rgb="FF1B2A4A"/>
      <sz val="12"/>
    </font>
    <font>
      <name val="Arial"/>
      <charset val="1"/>
      <family val="2"/>
      <b val="1"/>
      <sz val="10"/>
    </font>
    <font>
      <name val="Arial"/>
      <charset val="1"/>
      <family val="2"/>
      <b val="1"/>
      <color rgb="FFC62828"/>
      <sz val="11"/>
    </font>
    <font>
      <name val="Arial"/>
      <charset val="1"/>
      <family val="2"/>
      <b val="1"/>
      <color rgb="FFC62828"/>
      <sz val="14"/>
    </font>
    <font>
      <name val="Arial"/>
      <charset val="1"/>
      <family val="2"/>
      <color rgb="FFC62828"/>
      <sz val="10"/>
    </font>
    <font>
      <name val="Arial"/>
      <charset val="1"/>
      <family val="2"/>
      <b val="1"/>
      <color rgb="FF2E7D32"/>
      <sz val="11"/>
    </font>
    <font>
      <name val="Arial"/>
      <charset val="1"/>
      <family val="2"/>
      <b val="1"/>
      <color rgb="FF2E7D32"/>
      <sz val="14"/>
    </font>
    <font>
      <name val="Arial"/>
      <charset val="1"/>
      <family val="2"/>
      <i val="1"/>
      <color rgb="FF666666"/>
      <sz val="9"/>
    </font>
    <font>
      <name val="Arial"/>
      <charset val="1"/>
      <family val="2"/>
      <b val="1"/>
      <sz val="12"/>
    </font>
  </fonts>
  <fills count="7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FFF8E1"/>
        <bgColor rgb="FFF5F5F5"/>
      </patternFill>
    </fill>
    <fill>
      <patternFill patternType="solid">
        <fgColor rgb="FFFFEBEE"/>
        <b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21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164" fontId="6" fillId="0" borderId="1" applyAlignment="1" pivotButton="0" quotePrefix="0" xfId="0">
      <alignment horizontal="general" vertical="center"/>
    </xf>
    <xf numFmtId="168" fontId="6" fillId="0" borderId="1" applyAlignment="1" pivotButton="0" quotePrefix="0" xfId="0">
      <alignment horizontal="general" vertical="center"/>
    </xf>
    <xf numFmtId="165" fontId="6" fillId="0" borderId="1" applyAlignment="1" pivotButton="0" quotePrefix="0" xfId="0">
      <alignment horizontal="general" vertical="center"/>
    </xf>
    <xf numFmtId="166" fontId="6" fillId="0" borderId="1" applyAlignment="1" pivotButton="0" quotePrefix="0" xfId="0">
      <alignment horizontal="general" vertical="center"/>
    </xf>
    <xf numFmtId="2" fontId="6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166" fontId="12" fillId="0" borderId="0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165" fontId="16" fillId="0" borderId="0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9" fontId="21" fillId="0" borderId="1" applyAlignment="1" pivotButton="0" quotePrefix="0" xfId="0">
      <alignment horizontal="center" vertical="center" wrapText="1"/>
    </xf>
    <xf numFmtId="2" fontId="21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21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164" fontId="6" fillId="0" borderId="1" applyAlignment="1" pivotButton="0" quotePrefix="0" xfId="0">
      <alignment horizontal="general" vertical="center"/>
    </xf>
    <xf numFmtId="168" fontId="6" fillId="0" borderId="1" applyAlignment="1" pivotButton="0" quotePrefix="0" xfId="0">
      <alignment horizontal="general" vertical="center"/>
    </xf>
    <xf numFmtId="165" fontId="6" fillId="0" borderId="1" applyAlignment="1" pivotButton="0" quotePrefix="0" xfId="0">
      <alignment horizontal="general" vertical="center"/>
    </xf>
    <xf numFmtId="166" fontId="6" fillId="0" borderId="1" applyAlignment="1" pivotButton="0" quotePrefix="0" xfId="0">
      <alignment horizontal="general" vertical="center"/>
    </xf>
    <xf numFmtId="2" fontId="6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166" fontId="12" fillId="0" borderId="0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165" fontId="16" fillId="0" borderId="0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9" fontId="21" fillId="0" borderId="1" applyAlignment="1" pivotButton="0" quotePrefix="0" xfId="0">
      <alignment horizontal="center" vertical="center" wrapText="1"/>
    </xf>
    <xf numFmtId="2" fontId="21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8F5E9"/>
        </patternFill>
      </fill>
    </dxf>
    <dxf>
      <fill>
        <patternFill>
          <bgColor rgb="FFFFEBEE"/>
        </patternFill>
      </fill>
    </dxf>
    <dxf>
      <font>
        <color rgb="FF2E7D32"/>
      </font>
    </dxf>
    <dxf>
      <font>
        <color rgb="FFC62828"/>
      </font>
    </dxf>
    <dxf>
      <fill>
        <patternFill>
          <bgColor rgb="FFFFF8E1"/>
        </patternFill>
      </fill>
    </dxf>
    <dxf>
      <font>
        <color rgb="FF2E7D32"/>
      </font>
      <fill>
        <patternFill>
          <bgColor rgb="FFE8F5E9"/>
        </patternFill>
      </fill>
    </dxf>
    <dxf>
      <font>
        <color rgb="FFC62828"/>
      </font>
      <fill>
        <patternFill>
          <bgColor rgb="FFFFEB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003366"/>
      <rgbColor rgb="FF2E7D32"/>
      <rgbColor rgb="FF003300"/>
      <rgbColor rgb="FF333300"/>
      <rgbColor rgb="FFC62828"/>
      <rgbColor rgb="FF993366"/>
      <rgbColor rgb="FF2E5090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888888"/>
    <outlinePr summaryBelow="1" summaryRight="1"/>
    <pageSetUpPr fitToPage="0"/>
  </sheetPr>
  <dimension ref="A1:E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5" customWidth="1" style="74" min="1" max="1"/>
    <col width="80" customWidth="1" style="74" min="2" max="2"/>
  </cols>
  <sheetData>
    <row r="1" ht="17.25" customHeight="1" s="75">
      <c r="A1" s="76" t="inlineStr">
        <is>
          <t>How to Use This Trade Journal</t>
        </is>
      </c>
    </row>
    <row r="3" ht="15" customHeight="1" s="75">
      <c r="A3" s="77" t="inlineStr">
        <is>
          <t>TRADE LOG TAB</t>
        </is>
      </c>
    </row>
    <row r="4" ht="57" customHeight="1" s="75">
      <c r="B4" s="78" t="inlineStr">
        <is>
          <t>Enter each trade in a new row. Fill in columns B through M (Date, Time, Symbol, Direction, Setup, Entry, Stop, Target, Shares, Exit Price, Exit Time, Exit Reason). Columns N through Q auto-calculate P&amp;L, R-Multiple, and Win/Loss.</t>
        </is>
      </c>
    </row>
    <row r="5" ht="15" customHeight="1" s="75">
      <c r="B5" s="78" t="inlineStr">
        <is>
          <t>Direction: Choose LONG or SHORT from the dropdown.</t>
        </is>
      </c>
    </row>
    <row r="6" ht="27" customHeight="1" s="75">
      <c r="B6" s="78" t="inlineStr">
        <is>
          <t>Setup: Choose from your 7 alert types (BOX_REV, MANIP, VWAP_SEP, EMA9_SEP, VWAP_KISS, EMA_PULL, EMA_RETEST).</t>
        </is>
      </c>
    </row>
    <row r="7" ht="19.5" customHeight="1" s="75">
      <c r="B7" s="78" t="inlineStr">
        <is>
          <t>Exit Reason: Target Hit, Stop Hit, Trailing Stop, Time Exit, Manual, or Partial.</t>
        </is>
      </c>
    </row>
    <row r="8" ht="18.75" customHeight="1" s="75">
      <c r="B8" s="78" t="inlineStr">
        <is>
          <t>Notes: Write anything useful — what you saw, why you entered, what you learned.</t>
        </is>
      </c>
    </row>
    <row r="9" ht="15" customHeight="1" s="75">
      <c r="B9" s="78" t="n"/>
    </row>
    <row r="10" ht="15" customHeight="1" s="75">
      <c r="A10" s="77" t="inlineStr">
        <is>
          <t>DASHBOARD TAB</t>
        </is>
      </c>
    </row>
    <row r="11" ht="43.5" customHeight="1" s="75">
      <c r="B11" s="78" t="inlineStr">
        <is>
          <t>All metrics update automatically as you add trades. Win rate, profit factor, expectancy, setup performance, direction breakdown, and time-of-day analysis are all formula-driven.</t>
        </is>
      </c>
    </row>
    <row r="12" ht="15" customHeight="1" s="75">
      <c r="B12" s="78" t="n"/>
    </row>
    <row r="13" ht="15" customHeight="1" s="75">
      <c r="A13" s="77" t="inlineStr">
        <is>
          <t>BEHAVIORAL TAB</t>
        </is>
      </c>
    </row>
    <row r="14" ht="54.75" customHeight="1" s="75">
      <c r="B14" s="78" t="inlineStr">
        <is>
          <t>Tracks streaks, largest winners/losers, exit reason effectiveness, and per-symbol performance. Use this to spot patterns like: Are you better at longs? Do you overtrade after lunch? Are stop-hit exits your biggest losses?</t>
        </is>
      </c>
    </row>
    <row r="15" ht="15" customHeight="1" s="75">
      <c r="B15" s="78" t="n"/>
    </row>
    <row r="16" ht="15" customHeight="1" s="75">
      <c r="A16" s="77" t="inlineStr">
        <is>
          <t>DAILY P&amp;L TAB</t>
        </is>
      </c>
    </row>
    <row r="17" ht="33.75" customHeight="1" s="75">
      <c r="B17" s="78" t="inlineStr">
        <is>
          <t>Enter the date in column A for each trading day. All other columns auto-calculate from the Trade Log. Cumulative P&amp;L builds automatically.</t>
        </is>
      </c>
    </row>
    <row r="18" ht="15" customHeight="1" s="75">
      <c r="B18" s="78" t="n"/>
    </row>
    <row r="19" ht="15" customHeight="1" s="75">
      <c r="A19" s="77" t="inlineStr">
        <is>
          <t>TIPS</t>
        </is>
      </c>
    </row>
    <row r="20" ht="18.75" customHeight="1" s="75">
      <c r="B20" s="78" t="inlineStr">
        <is>
          <t>1. Be consistent — log EVERY trade, even the bad ones. Especially the bad ones.</t>
        </is>
      </c>
    </row>
    <row r="21" ht="24.75" customHeight="1" s="75">
      <c r="B21" s="78" t="inlineStr">
        <is>
          <t>2. Fill in the Hold Time (minutes) to track if you're cutting winners short or holding losers too long.</t>
        </is>
      </c>
    </row>
    <row r="22" ht="22.5" customHeight="1" s="75">
      <c r="B22" s="78" t="inlineStr">
        <is>
          <t>3. Use Notes for context you'll forget later: market conditions, news, your emotional state.</t>
        </is>
      </c>
    </row>
    <row r="23" ht="18.75" customHeight="1" s="75">
      <c r="B23" s="78" t="inlineStr">
        <is>
          <t>4. Review weekly: which setups are working? Which time blocks? Which symbols?</t>
        </is>
      </c>
    </row>
    <row r="24" ht="31.5" customHeight="1" s="75">
      <c r="B24" s="78" t="inlineStr">
        <is>
          <t>5. The R-Multiple column tells you how many units of risk you gained or lost. Anything above 1.0R is a winner that met your target.</t>
        </is>
      </c>
    </row>
    <row r="26" ht="15" customHeight="1" s="75">
      <c r="A26" s="77" t="inlineStr">
        <is>
          <t>NEW COLUMNS (added)</t>
        </is>
      </c>
    </row>
    <row r="27" ht="40.5" customHeight="1" s="75">
      <c r="B27" s="78" t="inlineStr">
        <is>
          <t>Grade (A/B/C): Rate the quality of the setup before or after the trade. A = perfect alignment, B = acceptable, C = marginal/forced. The Dashboard shows P&amp;L by grade.</t>
        </is>
      </c>
    </row>
    <row r="28" ht="36.75" customHeight="1" s="75">
      <c r="B28" s="78" t="inlineStr">
        <is>
          <t>Rules? (Y/N): Did you follow your trading plan? Entry, stop, target, size all as planned? The Dashboard compares rule-following vs. rule-breaking P&amp;L.</t>
        </is>
      </c>
    </row>
    <row r="29" ht="37.5" customHeight="1" s="75">
      <c r="B29" s="78" t="inlineStr">
        <is>
          <t>Emotion: Your state when you took the trade. Calm, Focused, Hesitant, Frustrated, FOMO, Revenge, Tired, Distracted. Correlations with P&amp;L are often stark.</t>
        </is>
      </c>
    </row>
    <row r="30" ht="46.5" customHeight="1" s="75">
      <c r="B30" s="78" t="inlineStr">
        <is>
          <t>Mistake: If something went wrong, tag it. None, Chased Entry, Early Exit, Late Exit, No Stop, Moved Stop, Oversized, Forced Trade, etc. The Dashboard shows total cost of each mistake type.</t>
        </is>
      </c>
    </row>
    <row r="31" ht="36.75" customHeight="1" s="75">
      <c r="B31" s="78" t="inlineStr">
        <is>
          <t>Regime: Market day type. Trend, Rotation, Choppy, High Vol, Low Vol. Your engine already classifies this. Shows which setups work in which conditions.</t>
        </is>
      </c>
    </row>
    <row r="32" ht="22.5" customHeight="1" s="75">
      <c r="B32" s="78" t="inlineStr">
        <is>
          <t>Fees: Total commissions + fees for the trade. Net P&amp;L auto-calculates as Gross P&amp;L minus Fees.</t>
        </is>
      </c>
    </row>
    <row r="33" ht="36.75" customHeight="1" s="75">
      <c r="B33" s="78" t="inlineStr">
        <is>
          <t>MAE: Maximum Adverse Excursion. How far did the trade go against you (in dollars per share) before the outcome? Helps answer: are my stops too tight?</t>
        </is>
      </c>
    </row>
    <row r="34" ht="39.75" customHeight="1" s="75">
      <c r="B34" s="78" t="inlineStr">
        <is>
          <t>MFE: Maximum Favorable Excursion. How far did the trade go in your favor (in dollars per share) before you exited? Helps answer: am I leaving money on the table?</t>
        </is>
      </c>
    </row>
  </sheetData>
  <mergeCells count="7">
    <mergeCell ref="A26:B26"/>
    <mergeCell ref="A16:B16"/>
    <mergeCell ref="A19:B19"/>
    <mergeCell ref="A10:B10"/>
    <mergeCell ref="A13:B13"/>
    <mergeCell ref="A1:E1"/>
    <mergeCell ref="A3:B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AC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Right"/>
      <selection pane="bottomLeft"/>
      <selection pane="bottomRight" activeCell="A1" activeCellId="0" sqref="A1"/>
      <selection pane="bottomLeft" activeCell="A1" activeCellId="0" sqref="A1"/>
    </sheetView>
  </sheetViews>
  <sheetFormatPr baseColWidth="8" defaultColWidth="8.66796875" defaultRowHeight="15" customHeight="1" zeroHeight="0" outlineLevelRow="0"/>
  <cols>
    <col width="8" customWidth="1" style="74" min="1" max="1"/>
    <col width="12" customWidth="1" style="74" min="2" max="2"/>
    <col width="10" customWidth="1" style="74" min="3" max="5"/>
    <col width="8" customWidth="1" style="75" min="4" max="4"/>
    <col width="10" customWidth="1" style="75" min="5" max="5"/>
    <col width="14" customWidth="1" style="74" min="6" max="6"/>
    <col width="12" customWidth="1" style="74" min="7" max="9"/>
    <col width="12" customWidth="1" style="75" min="8" max="8"/>
    <col width="12" customWidth="1" style="75" min="9" max="9"/>
    <col width="8" customWidth="1" style="74" min="10" max="10"/>
    <col width="12" customWidth="1" style="74" min="11" max="11"/>
    <col width="10" customWidth="1" style="74" min="12" max="12"/>
    <col width="14" customWidth="1" style="74" min="13" max="13"/>
    <col width="12" customWidth="1" style="74" min="14" max="14"/>
    <col width="10" customWidth="1" style="74" min="15" max="18"/>
    <col width="12" customWidth="1" style="75" min="16" max="16"/>
    <col width="10" customWidth="1" style="75" min="17" max="17"/>
    <col width="10" customWidth="1" style="75" min="18" max="18"/>
    <col width="25" customWidth="1" style="74" min="19" max="19"/>
    <col width="20" customWidth="1" style="74" min="20" max="20"/>
    <col width="8" customWidth="1" style="74" min="21" max="22"/>
    <col width="8" customWidth="1" style="75" min="22" max="22"/>
    <col width="12" customWidth="1" style="74" min="23" max="23"/>
    <col width="18" customWidth="1" style="74" min="24" max="24"/>
    <col width="12" customWidth="1" style="74" min="25" max="25"/>
    <col width="10" customWidth="1" style="74" min="26" max="28"/>
    <col width="10" customWidth="1" style="75" min="27" max="27"/>
    <col width="10" customWidth="1" style="75" min="28" max="28"/>
    <col width="12" customWidth="1" style="74" min="29" max="29"/>
  </cols>
  <sheetData>
    <row r="1" ht="39" customHeight="1" s="75">
      <c r="A1" s="79" t="inlineStr">
        <is>
          <t>Trade #</t>
        </is>
      </c>
      <c r="B1" s="79" t="inlineStr">
        <is>
          <t>Date</t>
        </is>
      </c>
      <c r="C1" s="79" t="inlineStr">
        <is>
          <t>Time</t>
        </is>
      </c>
      <c r="D1" s="79" t="inlineStr">
        <is>
          <t>Symbol</t>
        </is>
      </c>
      <c r="E1" s="79" t="inlineStr">
        <is>
          <t>Direction</t>
        </is>
      </c>
      <c r="F1" s="79" t="inlineStr">
        <is>
          <t>Setup</t>
        </is>
      </c>
      <c r="G1" s="79" t="inlineStr">
        <is>
          <t>Entry Price</t>
        </is>
      </c>
      <c r="H1" s="79" t="inlineStr">
        <is>
          <t>Stop Price</t>
        </is>
      </c>
      <c r="I1" s="79" t="inlineStr">
        <is>
          <t>Target Price</t>
        </is>
      </c>
      <c r="J1" s="79" t="inlineStr">
        <is>
          <t>Shares</t>
        </is>
      </c>
      <c r="K1" s="79" t="inlineStr">
        <is>
          <t>Exit Price</t>
        </is>
      </c>
      <c r="L1" s="79" t="inlineStr">
        <is>
          <t>Exit Time</t>
        </is>
      </c>
      <c r="M1" s="79" t="inlineStr">
        <is>
          <t>Exit Reason</t>
        </is>
      </c>
      <c r="N1" s="79" t="inlineStr">
        <is>
          <t>P&amp;L ($)</t>
        </is>
      </c>
      <c r="O1" s="79" t="inlineStr">
        <is>
          <t>P&amp;L (%)</t>
        </is>
      </c>
      <c r="P1" s="79" t="inlineStr">
        <is>
          <t>R-Multiple</t>
        </is>
      </c>
      <c r="Q1" s="79" t="inlineStr">
        <is>
          <t>Win/Loss</t>
        </is>
      </c>
      <c r="R1" s="79" t="inlineStr">
        <is>
          <t>Held (min)</t>
        </is>
      </c>
      <c r="S1" s="79" t="inlineStr">
        <is>
          <t>Notes</t>
        </is>
      </c>
      <c r="T1" s="79" t="inlineStr">
        <is>
          <t>Screenshot Link</t>
        </is>
      </c>
      <c r="U1" s="79" t="inlineStr">
        <is>
          <t>Grade</t>
        </is>
      </c>
      <c r="V1" s="79" t="inlineStr">
        <is>
          <t>Rules?</t>
        </is>
      </c>
      <c r="W1" s="79" t="inlineStr">
        <is>
          <t>Emotion</t>
        </is>
      </c>
      <c r="X1" s="79" t="inlineStr">
        <is>
          <t>Mistake</t>
        </is>
      </c>
      <c r="Y1" s="79" t="inlineStr">
        <is>
          <t>Regime</t>
        </is>
      </c>
      <c r="Z1" s="79" t="inlineStr">
        <is>
          <t>Fees</t>
        </is>
      </c>
      <c r="AA1" s="79" t="inlineStr">
        <is>
          <t>MAE</t>
        </is>
      </c>
      <c r="AB1" s="79" t="inlineStr">
        <is>
          <t>MFE</t>
        </is>
      </c>
      <c r="AC1" s="79" t="inlineStr">
        <is>
          <t>Net P&amp;L</t>
        </is>
      </c>
    </row>
    <row r="2" ht="15" customHeight="1" s="75">
      <c r="A2" s="80" t="n">
        <v>1</v>
      </c>
      <c r="B2" s="81" t="inlineStr">
        <is>
          <t>2026-03-06</t>
        </is>
      </c>
      <c r="C2" s="82" t="n">
        <v>0.6337847222222223</v>
      </c>
      <c r="D2" s="80" t="inlineStr">
        <is>
          <t>TSLA</t>
        </is>
      </c>
      <c r="E2" s="80" t="inlineStr">
        <is>
          <t>LONG</t>
        </is>
      </c>
      <c r="F2" s="80" t="n"/>
      <c r="G2" s="83" t="n">
        <v>396</v>
      </c>
      <c r="H2" s="80" t="n"/>
      <c r="I2" s="80" t="n"/>
      <c r="J2" s="83" t="n">
        <v>20</v>
      </c>
      <c r="K2" s="83" t="n">
        <v>397.14</v>
      </c>
      <c r="L2" s="82" t="n">
        <v>0.6551273148148148</v>
      </c>
      <c r="M2" s="83" t="n"/>
      <c r="N2" s="84" t="n">
        <v>22.8</v>
      </c>
      <c r="O2" s="85" t="n">
        <v>0.002879</v>
      </c>
      <c r="P2" s="86">
        <f>IF(OR(H2="",H2=0),"",N2/(ABS(G2-H2)*J2))</f>
        <v/>
      </c>
      <c r="Q2" s="87" t="inlineStr">
        <is>
          <t>WIN</t>
        </is>
      </c>
      <c r="R2" s="86" t="n">
        <v>30</v>
      </c>
      <c r="S2" s="80" t="n"/>
      <c r="T2" s="80" t="n"/>
      <c r="U2" s="80" t="n"/>
      <c r="V2" s="80" t="n"/>
      <c r="W2" s="80" t="n"/>
      <c r="X2" s="80" t="n"/>
      <c r="Y2" s="80" t="n"/>
      <c r="Z2" s="83" t="n"/>
      <c r="AA2" s="83" t="n"/>
      <c r="AB2" s="83" t="n"/>
      <c r="AC2" s="83">
        <f>IF(N2="","",N2-IF(Z2="",0,Z2))</f>
        <v/>
      </c>
    </row>
    <row r="3" ht="15" customHeight="1" s="75">
      <c r="A3" s="80" t="n">
        <v>2</v>
      </c>
      <c r="B3" s="81" t="inlineStr">
        <is>
          <t>2026-03-06</t>
        </is>
      </c>
      <c r="C3" s="82" t="n">
        <v>0.6611921296296296</v>
      </c>
      <c r="D3" s="80" t="inlineStr">
        <is>
          <t>TSLA</t>
        </is>
      </c>
      <c r="E3" s="80" t="inlineStr">
        <is>
          <t>LONG</t>
        </is>
      </c>
      <c r="F3" s="80" t="n"/>
      <c r="G3" s="83" t="n">
        <v>397.47</v>
      </c>
      <c r="H3" s="80" t="n"/>
      <c r="I3" s="80" t="n"/>
      <c r="J3" s="83" t="n">
        <v>20</v>
      </c>
      <c r="K3" s="83" t="n">
        <v>397.49</v>
      </c>
      <c r="L3" s="82" t="n">
        <v>0.6636458333333334</v>
      </c>
      <c r="M3" s="83" t="n"/>
      <c r="N3" s="84" t="n">
        <v>0.4</v>
      </c>
      <c r="O3" s="85" t="n">
        <v>5e-05</v>
      </c>
      <c r="P3" s="86">
        <f>IF(OR(H3="",H3=0),"",N3/(ABS(G3-H3)*J3))</f>
        <v/>
      </c>
      <c r="Q3" s="87" t="inlineStr">
        <is>
          <t>WIN</t>
        </is>
      </c>
      <c r="R3" s="86" t="n">
        <v>3</v>
      </c>
      <c r="S3" s="80" t="n"/>
      <c r="T3" s="80" t="n"/>
      <c r="U3" s="80" t="n"/>
      <c r="V3" s="80" t="n"/>
      <c r="W3" s="80" t="n"/>
      <c r="X3" s="80" t="n"/>
      <c r="Y3" s="80" t="n"/>
      <c r="Z3" s="83" t="n"/>
      <c r="AA3" s="83" t="n"/>
      <c r="AB3" s="83" t="n"/>
      <c r="AC3" s="83">
        <f>IF(N3="","",N3-IF(Z3="",0,Z3))</f>
        <v/>
      </c>
    </row>
    <row r="4" ht="15" customHeight="1" s="75">
      <c r="A4" s="80" t="n">
        <v>3</v>
      </c>
      <c r="B4" s="81" t="inlineStr">
        <is>
          <t>2026-03-06</t>
        </is>
      </c>
      <c r="C4" s="82" t="n">
        <v>0.6662268518518518</v>
      </c>
      <c r="D4" s="80" t="inlineStr">
        <is>
          <t>TSLA</t>
        </is>
      </c>
      <c r="E4" s="80" t="inlineStr">
        <is>
          <t>LONG</t>
        </is>
      </c>
      <c r="F4" s="80" t="n"/>
      <c r="G4" s="83" t="n">
        <v>397.17</v>
      </c>
      <c r="H4" s="80" t="n"/>
      <c r="I4" s="80" t="n"/>
      <c r="J4" s="83" t="n">
        <v>20</v>
      </c>
      <c r="K4" s="83" t="n">
        <v>398.96</v>
      </c>
      <c r="L4" s="82" t="n">
        <v>0.6813541666666667</v>
      </c>
      <c r="M4" s="83" t="n"/>
      <c r="N4" s="84" t="n">
        <v>35.8</v>
      </c>
      <c r="O4" s="85" t="n">
        <v>0.004507</v>
      </c>
      <c r="P4" s="86">
        <f>IF(OR(H4="",H4=0),"",N4/(ABS(G4-H4)*J4))</f>
        <v/>
      </c>
      <c r="Q4" s="87" t="inlineStr">
        <is>
          <t>WIN</t>
        </is>
      </c>
      <c r="R4" s="86" t="n">
        <v>21</v>
      </c>
      <c r="S4" s="80" t="n"/>
      <c r="T4" s="80" t="n"/>
      <c r="U4" s="80" t="n"/>
      <c r="V4" s="80" t="n"/>
      <c r="W4" s="80" t="n"/>
      <c r="X4" s="80" t="n"/>
      <c r="Y4" s="80" t="n"/>
      <c r="Z4" s="83" t="n"/>
      <c r="AA4" s="83" t="n"/>
      <c r="AB4" s="83" t="n"/>
      <c r="AC4" s="83">
        <f>IF(N4="","",N4-IF(Z4="",0,Z4))</f>
        <v/>
      </c>
    </row>
    <row r="5" ht="15" customHeight="1" s="75">
      <c r="A5" s="80" t="n">
        <v>4</v>
      </c>
      <c r="B5" s="81" t="inlineStr">
        <is>
          <t>2026-03-06</t>
        </is>
      </c>
      <c r="C5" s="82" t="n">
        <v>0.7614120370370371</v>
      </c>
      <c r="D5" s="80" t="inlineStr">
        <is>
          <t>SOXL</t>
        </is>
      </c>
      <c r="E5" s="80" t="inlineStr">
        <is>
          <t>LONG</t>
        </is>
      </c>
      <c r="F5" s="80" t="n"/>
      <c r="G5" s="83" t="n">
        <v>51.85</v>
      </c>
      <c r="H5" s="80" t="n"/>
      <c r="I5" s="80" t="n"/>
      <c r="J5" s="83" t="n">
        <v>100</v>
      </c>
      <c r="K5" s="83" t="n">
        <v>52.21</v>
      </c>
      <c r="L5" s="82" t="n">
        <v>0.7749768518518518</v>
      </c>
      <c r="M5" s="83" t="n"/>
      <c r="N5" s="84" t="n">
        <v>36</v>
      </c>
      <c r="O5" s="85" t="n">
        <v>0.006943</v>
      </c>
      <c r="P5" s="86">
        <f>IF(OR(H5="",H5=0),"",N5/(ABS(G5-H5)*J5))</f>
        <v/>
      </c>
      <c r="Q5" s="87" t="inlineStr">
        <is>
          <t>WIN</t>
        </is>
      </c>
      <c r="R5" s="86" t="n">
        <v>19</v>
      </c>
      <c r="S5" s="80" t="n"/>
      <c r="T5" s="80" t="n"/>
      <c r="U5" s="80" t="n"/>
      <c r="V5" s="80" t="n"/>
      <c r="W5" s="80" t="n"/>
      <c r="X5" s="80" t="n"/>
      <c r="Y5" s="80" t="n"/>
      <c r="Z5" s="83" t="n"/>
      <c r="AA5" s="83" t="n"/>
      <c r="AB5" s="83" t="n"/>
      <c r="AC5" s="83">
        <f>IF(N5="","",N5-IF(Z5="",0,Z5))</f>
        <v/>
      </c>
    </row>
    <row r="6" ht="15" customHeight="1" s="75">
      <c r="A6" s="80" t="n">
        <v>5</v>
      </c>
      <c r="B6" s="81" t="inlineStr">
        <is>
          <t>2026-03-06</t>
        </is>
      </c>
      <c r="C6" s="82" t="n">
        <v>0.7797337962962962</v>
      </c>
      <c r="D6" s="80" t="inlineStr">
        <is>
          <t>SOXL</t>
        </is>
      </c>
      <c r="E6" s="80" t="inlineStr">
        <is>
          <t>LONG</t>
        </is>
      </c>
      <c r="F6" s="80" t="n"/>
      <c r="G6" s="83" t="n">
        <v>51.81</v>
      </c>
      <c r="H6" s="80" t="n"/>
      <c r="I6" s="80" t="n"/>
      <c r="J6" s="83" t="n">
        <v>100</v>
      </c>
      <c r="K6" s="83" t="n">
        <v>51.76</v>
      </c>
      <c r="L6" s="82" t="n">
        <v>0.7881481481481482</v>
      </c>
      <c r="M6" s="83" t="n"/>
      <c r="N6" s="88" t="n">
        <v>-5</v>
      </c>
      <c r="O6" s="85" t="n">
        <v>-0.000965</v>
      </c>
      <c r="P6" s="86">
        <f>IF(OR(H6="",H6=0),"",N6/(ABS(G6-H6)*J6))</f>
        <v/>
      </c>
      <c r="Q6" s="89" t="inlineStr">
        <is>
          <t>LOSS</t>
        </is>
      </c>
      <c r="R6" s="86" t="n">
        <v>12</v>
      </c>
      <c r="S6" s="80" t="n"/>
      <c r="T6" s="80" t="n"/>
      <c r="U6" s="80" t="n"/>
      <c r="V6" s="80" t="n"/>
      <c r="W6" s="80" t="n"/>
      <c r="X6" s="80" t="n"/>
      <c r="Y6" s="80" t="n"/>
      <c r="Z6" s="83" t="n"/>
      <c r="AA6" s="83" t="n"/>
      <c r="AB6" s="83" t="n"/>
      <c r="AC6" s="83">
        <f>IF(N6="","",N6-IF(Z6="",0,Z6))</f>
        <v/>
      </c>
    </row>
    <row r="7" ht="15" customHeight="1" s="75">
      <c r="A7" s="90" t="n"/>
      <c r="B7" s="91" t="n"/>
      <c r="C7" s="92" t="n"/>
      <c r="D7" s="90" t="n"/>
      <c r="E7" s="90" t="n"/>
      <c r="F7" s="90" t="n"/>
      <c r="G7" s="90" t="n"/>
      <c r="H7" s="90" t="n"/>
      <c r="I7" s="90" t="n"/>
      <c r="J7" s="90" t="n"/>
      <c r="K7" s="90" t="n"/>
      <c r="L7" s="92" t="n"/>
      <c r="M7" s="90" t="n"/>
      <c r="N7" s="93" t="n"/>
      <c r="O7" s="94" t="n"/>
      <c r="P7" s="95" t="n"/>
      <c r="Q7" s="90" t="n"/>
      <c r="R7" s="90" t="n"/>
      <c r="S7" s="90" t="n"/>
      <c r="T7" s="90" t="n"/>
      <c r="U7" s="96" t="n"/>
      <c r="V7" s="96" t="n"/>
      <c r="W7" s="96" t="n"/>
      <c r="X7" s="96" t="n"/>
      <c r="Y7" s="96" t="n"/>
      <c r="Z7" s="97" t="n"/>
      <c r="AA7" s="97" t="n"/>
      <c r="AB7" s="97" t="n"/>
      <c r="AC7" s="97" t="n"/>
    </row>
    <row r="8" ht="15" customHeight="1" s="75">
      <c r="A8" s="90" t="n"/>
      <c r="B8" s="91" t="n"/>
      <c r="C8" s="92" t="n"/>
      <c r="D8" s="90" t="n"/>
      <c r="E8" s="90" t="n"/>
      <c r="F8" s="90" t="n"/>
      <c r="G8" s="90" t="n"/>
      <c r="H8" s="90" t="n"/>
      <c r="I8" s="90" t="n"/>
      <c r="J8" s="90" t="n"/>
      <c r="K8" s="90" t="n"/>
      <c r="L8" s="92" t="n"/>
      <c r="M8" s="90" t="n"/>
      <c r="N8" s="93" t="n"/>
      <c r="O8" s="94" t="n"/>
      <c r="P8" s="95" t="n"/>
      <c r="Q8" s="90" t="n"/>
      <c r="R8" s="90" t="n"/>
      <c r="S8" s="90" t="n"/>
      <c r="T8" s="90" t="n"/>
      <c r="U8" s="96" t="n"/>
      <c r="V8" s="96" t="n"/>
      <c r="W8" s="96" t="n"/>
      <c r="X8" s="96" t="n"/>
      <c r="Y8" s="96" t="n"/>
      <c r="Z8" s="97" t="n"/>
      <c r="AA8" s="97" t="n"/>
      <c r="AB8" s="97" t="n"/>
      <c r="AC8" s="97" t="n"/>
    </row>
    <row r="9" ht="15" customHeight="1" s="75">
      <c r="A9" s="90" t="n"/>
      <c r="B9" s="91" t="n"/>
      <c r="C9" s="92" t="n"/>
      <c r="D9" s="90" t="n"/>
      <c r="E9" s="90" t="n"/>
      <c r="F9" s="90" t="n"/>
      <c r="G9" s="90" t="n"/>
      <c r="H9" s="90" t="n"/>
      <c r="I9" s="90" t="n"/>
      <c r="J9" s="90" t="n"/>
      <c r="K9" s="90" t="n"/>
      <c r="L9" s="92" t="n"/>
      <c r="M9" s="90" t="n"/>
      <c r="N9" s="93" t="n"/>
      <c r="O9" s="94" t="n"/>
      <c r="P9" s="95" t="n"/>
      <c r="Q9" s="90" t="n"/>
      <c r="R9" s="90" t="n"/>
      <c r="S9" s="90" t="n"/>
      <c r="T9" s="90" t="n"/>
      <c r="U9" s="96" t="n"/>
      <c r="V9" s="96" t="n"/>
      <c r="W9" s="96" t="n"/>
      <c r="X9" s="96" t="n"/>
      <c r="Y9" s="96" t="n"/>
      <c r="Z9" s="97" t="n"/>
      <c r="AA9" s="97" t="n"/>
      <c r="AB9" s="97" t="n"/>
      <c r="AC9" s="97" t="n"/>
    </row>
    <row r="10" ht="15" customHeight="1" s="75">
      <c r="A10" s="90" t="n"/>
      <c r="B10" s="91" t="n"/>
      <c r="C10" s="92" t="n"/>
      <c r="D10" s="90" t="n"/>
      <c r="E10" s="90" t="n"/>
      <c r="F10" s="90" t="n"/>
      <c r="G10" s="90" t="n"/>
      <c r="H10" s="90" t="n"/>
      <c r="I10" s="90" t="n"/>
      <c r="J10" s="90" t="n"/>
      <c r="K10" s="90" t="n"/>
      <c r="L10" s="92" t="n"/>
      <c r="M10" s="90" t="n"/>
      <c r="N10" s="93" t="n"/>
      <c r="O10" s="94" t="n"/>
      <c r="P10" s="95" t="n"/>
      <c r="Q10" s="90" t="n"/>
      <c r="R10" s="90" t="n"/>
      <c r="S10" s="90" t="n"/>
      <c r="T10" s="90" t="n"/>
      <c r="U10" s="96" t="n"/>
      <c r="V10" s="96" t="n"/>
      <c r="W10" s="96" t="n"/>
      <c r="X10" s="96" t="n"/>
      <c r="Y10" s="96" t="n"/>
      <c r="Z10" s="97" t="n"/>
      <c r="AA10" s="97" t="n"/>
      <c r="AB10" s="97" t="n"/>
      <c r="AC10" s="97" t="n"/>
    </row>
    <row r="11" ht="15" customHeight="1" s="75">
      <c r="A11" s="90" t="n"/>
      <c r="B11" s="91" t="n"/>
      <c r="C11" s="92" t="n"/>
      <c r="D11" s="90" t="n"/>
      <c r="E11" s="90" t="n"/>
      <c r="F11" s="90" t="n"/>
      <c r="G11" s="90" t="n"/>
      <c r="H11" s="90" t="n"/>
      <c r="I11" s="90" t="n"/>
      <c r="J11" s="90" t="n"/>
      <c r="K11" s="90" t="n"/>
      <c r="L11" s="92" t="n"/>
      <c r="M11" s="90" t="n"/>
      <c r="N11" s="93" t="n"/>
      <c r="O11" s="94" t="n"/>
      <c r="P11" s="95" t="n"/>
      <c r="Q11" s="90" t="n"/>
      <c r="R11" s="90" t="n"/>
      <c r="S11" s="90" t="n"/>
      <c r="T11" s="90" t="n"/>
      <c r="U11" s="96" t="n"/>
      <c r="V11" s="96" t="n"/>
      <c r="W11" s="96" t="n"/>
      <c r="X11" s="96" t="n"/>
      <c r="Y11" s="96" t="n"/>
      <c r="Z11" s="97" t="n"/>
      <c r="AA11" s="97" t="n"/>
      <c r="AB11" s="97" t="n"/>
      <c r="AC11" s="97" t="n"/>
    </row>
    <row r="12" ht="15" customHeight="1" s="75">
      <c r="A12" s="90" t="n"/>
      <c r="B12" s="91" t="n"/>
      <c r="C12" s="92" t="n"/>
      <c r="D12" s="90" t="n"/>
      <c r="E12" s="90" t="n"/>
      <c r="F12" s="90" t="n"/>
      <c r="G12" s="90" t="n"/>
      <c r="H12" s="90" t="n"/>
      <c r="I12" s="90" t="n"/>
      <c r="J12" s="90" t="n"/>
      <c r="K12" s="90" t="n"/>
      <c r="L12" s="92" t="n"/>
      <c r="M12" s="90" t="n"/>
      <c r="N12" s="93" t="n"/>
      <c r="O12" s="94" t="n"/>
      <c r="P12" s="95" t="n"/>
      <c r="Q12" s="90" t="n"/>
      <c r="R12" s="90" t="n"/>
      <c r="S12" s="90" t="n"/>
      <c r="T12" s="90" t="n"/>
      <c r="U12" s="96" t="n"/>
      <c r="V12" s="96" t="n"/>
      <c r="W12" s="96" t="n"/>
      <c r="X12" s="96" t="n"/>
      <c r="Y12" s="96" t="n"/>
      <c r="Z12" s="97" t="n"/>
      <c r="AA12" s="97" t="n"/>
      <c r="AB12" s="97" t="n"/>
      <c r="AC12" s="97" t="n"/>
    </row>
    <row r="13" ht="15" customHeight="1" s="75">
      <c r="A13" s="90" t="n"/>
      <c r="B13" s="91" t="n"/>
      <c r="C13" s="92" t="n"/>
      <c r="D13" s="90" t="n"/>
      <c r="E13" s="90" t="n"/>
      <c r="F13" s="90" t="n"/>
      <c r="G13" s="90" t="n"/>
      <c r="H13" s="90" t="n"/>
      <c r="I13" s="90" t="n"/>
      <c r="J13" s="90" t="n"/>
      <c r="K13" s="90" t="n"/>
      <c r="L13" s="92" t="n"/>
      <c r="M13" s="90" t="n"/>
      <c r="N13" s="93" t="n"/>
      <c r="O13" s="94" t="n"/>
      <c r="P13" s="95" t="n"/>
      <c r="Q13" s="90" t="n"/>
      <c r="R13" s="90" t="n"/>
      <c r="S13" s="90" t="n"/>
      <c r="T13" s="90" t="n"/>
      <c r="U13" s="96" t="n"/>
      <c r="V13" s="96" t="n"/>
      <c r="W13" s="96" t="n"/>
      <c r="X13" s="96" t="n"/>
      <c r="Y13" s="96" t="n"/>
      <c r="Z13" s="97" t="n"/>
      <c r="AA13" s="97" t="n"/>
      <c r="AB13" s="97" t="n"/>
      <c r="AC13" s="97" t="n"/>
    </row>
    <row r="14" ht="15" customHeight="1" s="75">
      <c r="A14" s="74">
        <f>IF(B14="","",ROW()-1)</f>
        <v/>
      </c>
      <c r="N14" s="98">
        <f>IF(OR(K14="",G14="",J14=""),"",IF(E14="LONG",(K14-G14)*J14,(G14-K14)*J14))</f>
        <v/>
      </c>
      <c r="O14" s="99">
        <f>IF(OR(K14="",G14="",G14=0),"",IF(E14="LONG",(K14-G14)/G14,(G14-K14)/G14))</f>
        <v/>
      </c>
      <c r="P14" s="100">
        <f>IF(OR(N14="",H14="",G14="",ABS(G14-H14)=0),"",N14/(ABS(G14-H14)*J14))</f>
        <v/>
      </c>
      <c r="Q14" s="74">
        <f>IF(N14="","",IF(N14&gt;0,"WIN",IF(N14&lt;0,"LOSS","FLAT")))</f>
        <v/>
      </c>
      <c r="AC14" s="98">
        <f>IF(N14="","",N14-IF(Z14="",0,Z14))</f>
        <v/>
      </c>
    </row>
    <row r="15" ht="15" customHeight="1" s="75">
      <c r="A15" s="74">
        <f>IF(B15="","",ROW()-1)</f>
        <v/>
      </c>
      <c r="N15" s="98">
        <f>IF(OR(K15="",G15="",J15=""),"",IF(E15="LONG",(K15-G15)*J15,(G15-K15)*J15))</f>
        <v/>
      </c>
      <c r="O15" s="99">
        <f>IF(OR(K15="",G15="",G15=0),"",IF(E15="LONG",(K15-G15)/G15,(G15-K15)/G15))</f>
        <v/>
      </c>
      <c r="P15" s="100">
        <f>IF(OR(N15="",H15="",G15="",ABS(G15-H15)=0),"",N15/(ABS(G15-H15)*J15))</f>
        <v/>
      </c>
      <c r="Q15" s="74">
        <f>IF(N15="","",IF(N15&gt;0,"WIN",IF(N15&lt;0,"LOSS","FLAT")))</f>
        <v/>
      </c>
      <c r="AC15" s="98">
        <f>IF(N15="","",N15-IF(Z15="",0,Z15))</f>
        <v/>
      </c>
    </row>
    <row r="16" ht="15" customHeight="1" s="75">
      <c r="A16" s="74">
        <f>IF(B16="","",ROW()-1)</f>
        <v/>
      </c>
      <c r="N16" s="98">
        <f>IF(OR(K16="",G16="",J16=""),"",IF(E16="LONG",(K16-G16)*J16,(G16-K16)*J16))</f>
        <v/>
      </c>
      <c r="O16" s="99">
        <f>IF(OR(K16="",G16="",G16=0),"",IF(E16="LONG",(K16-G16)/G16,(G16-K16)/G16))</f>
        <v/>
      </c>
      <c r="P16" s="100">
        <f>IF(OR(N16="",H16="",G16="",ABS(G16-H16)=0),"",N16/(ABS(G16-H16)*J16))</f>
        <v/>
      </c>
      <c r="Q16" s="74">
        <f>IF(N16="","",IF(N16&gt;0,"WIN",IF(N16&lt;0,"LOSS","FLAT")))</f>
        <v/>
      </c>
      <c r="AC16" s="98">
        <f>IF(N16="","",N16-IF(Z16="",0,Z16))</f>
        <v/>
      </c>
    </row>
    <row r="17" ht="15" customHeight="1" s="75">
      <c r="A17" s="74">
        <f>IF(B17="","",ROW()-1)</f>
        <v/>
      </c>
      <c r="N17" s="98">
        <f>IF(OR(K17="",G17="",J17=""),"",IF(E17="LONG",(K17-G17)*J17,(G17-K17)*J17))</f>
        <v/>
      </c>
      <c r="O17" s="99">
        <f>IF(OR(K17="",G17="",G17=0),"",IF(E17="LONG",(K17-G17)/G17,(G17-K17)/G17))</f>
        <v/>
      </c>
      <c r="P17" s="100">
        <f>IF(OR(N17="",H17="",G17="",ABS(G17-H17)=0),"",N17/(ABS(G17-H17)*J17))</f>
        <v/>
      </c>
      <c r="Q17" s="74">
        <f>IF(N17="","",IF(N17&gt;0,"WIN",IF(N17&lt;0,"LOSS","FLAT")))</f>
        <v/>
      </c>
      <c r="AC17" s="98">
        <f>IF(N17="","",N17-IF(Z17="",0,Z17))</f>
        <v/>
      </c>
    </row>
    <row r="18" ht="15" customHeight="1" s="75">
      <c r="A18" s="74">
        <f>IF(B18="","",ROW()-1)</f>
        <v/>
      </c>
      <c r="N18" s="98">
        <f>IF(OR(K18="",G18="",J18=""),"",IF(E18="LONG",(K18-G18)*J18,(G18-K18)*J18))</f>
        <v/>
      </c>
      <c r="O18" s="99">
        <f>IF(OR(K18="",G18="",G18=0),"",IF(E18="LONG",(K18-G18)/G18,(G18-K18)/G18))</f>
        <v/>
      </c>
      <c r="P18" s="100">
        <f>IF(OR(N18="",H18="",G18="",ABS(G18-H18)=0),"",N18/(ABS(G18-H18)*J18))</f>
        <v/>
      </c>
      <c r="Q18" s="74">
        <f>IF(N18="","",IF(N18&gt;0,"WIN",IF(N18&lt;0,"LOSS","FLAT")))</f>
        <v/>
      </c>
      <c r="AC18" s="98">
        <f>IF(N18="","",N18-IF(Z18="",0,Z18))</f>
        <v/>
      </c>
    </row>
    <row r="19" ht="15" customHeight="1" s="75">
      <c r="A19" s="74">
        <f>IF(B19="","",ROW()-1)</f>
        <v/>
      </c>
      <c r="N19" s="98">
        <f>IF(OR(K19="",G19="",J19=""),"",IF(E19="LONG",(K19-G19)*J19,(G19-K19)*J19))</f>
        <v/>
      </c>
      <c r="O19" s="99">
        <f>IF(OR(K19="",G19="",G19=0),"",IF(E19="LONG",(K19-G19)/G19,(G19-K19)/G19))</f>
        <v/>
      </c>
      <c r="P19" s="100">
        <f>IF(OR(N19="",H19="",G19="",ABS(G19-H19)=0),"",N19/(ABS(G19-H19)*J19))</f>
        <v/>
      </c>
      <c r="Q19" s="74">
        <f>IF(N19="","",IF(N19&gt;0,"WIN",IF(N19&lt;0,"LOSS","FLAT")))</f>
        <v/>
      </c>
      <c r="AC19" s="98">
        <f>IF(N19="","",N19-IF(Z19="",0,Z19))</f>
        <v/>
      </c>
    </row>
    <row r="20" ht="15" customHeight="1" s="75">
      <c r="A20" s="74">
        <f>IF(B20="","",ROW()-1)</f>
        <v/>
      </c>
      <c r="N20" s="98">
        <f>IF(OR(K20="",G20="",J20=""),"",IF(E20="LONG",(K20-G20)*J20,(G20-K20)*J20))</f>
        <v/>
      </c>
      <c r="O20" s="99">
        <f>IF(OR(K20="",G20="",G20=0),"",IF(E20="LONG",(K20-G20)/G20,(G20-K20)/G20))</f>
        <v/>
      </c>
      <c r="P20" s="100">
        <f>IF(OR(N20="",H20="",G20="",ABS(G20-H20)=0),"",N20/(ABS(G20-H20)*J20))</f>
        <v/>
      </c>
      <c r="Q20" s="74">
        <f>IF(N20="","",IF(N20&gt;0,"WIN",IF(N20&lt;0,"LOSS","FLAT")))</f>
        <v/>
      </c>
      <c r="AC20" s="98">
        <f>IF(N20="","",N20-IF(Z20="",0,Z20))</f>
        <v/>
      </c>
    </row>
    <row r="21" ht="15" customHeight="1" s="75">
      <c r="A21" s="74">
        <f>IF(B21="","",ROW()-1)</f>
        <v/>
      </c>
      <c r="N21" s="98">
        <f>IF(OR(K21="",G21="",J21=""),"",IF(E21="LONG",(K21-G21)*J21,(G21-K21)*J21))</f>
        <v/>
      </c>
      <c r="O21" s="99">
        <f>IF(OR(K21="",G21="",G21=0),"",IF(E21="LONG",(K21-G21)/G21,(G21-K21)/G21))</f>
        <v/>
      </c>
      <c r="P21" s="100">
        <f>IF(OR(N21="",H21="",G21="",ABS(G21-H21)=0),"",N21/(ABS(G21-H21)*J21))</f>
        <v/>
      </c>
      <c r="Q21" s="74">
        <f>IF(N21="","",IF(N21&gt;0,"WIN",IF(N21&lt;0,"LOSS","FLAT")))</f>
        <v/>
      </c>
      <c r="AC21" s="98">
        <f>IF(N21="","",N21-IF(Z21="",0,Z21))</f>
        <v/>
      </c>
    </row>
    <row r="22" ht="15" customHeight="1" s="75">
      <c r="A22" s="74">
        <f>IF(B22="","",ROW()-1)</f>
        <v/>
      </c>
      <c r="N22" s="98">
        <f>IF(OR(K22="",G22="",J22=""),"",IF(E22="LONG",(K22-G22)*J22,(G22-K22)*J22))</f>
        <v/>
      </c>
      <c r="O22" s="99">
        <f>IF(OR(K22="",G22="",G22=0),"",IF(E22="LONG",(K22-G22)/G22,(G22-K22)/G22))</f>
        <v/>
      </c>
      <c r="P22" s="100">
        <f>IF(OR(N22="",H22="",G22="",ABS(G22-H22)=0),"",N22/(ABS(G22-H22)*J22))</f>
        <v/>
      </c>
      <c r="Q22" s="74">
        <f>IF(N22="","",IF(N22&gt;0,"WIN",IF(N22&lt;0,"LOSS","FLAT")))</f>
        <v/>
      </c>
      <c r="AC22" s="98">
        <f>IF(N22="","",N22-IF(Z22="",0,Z22))</f>
        <v/>
      </c>
    </row>
    <row r="23" ht="15" customHeight="1" s="75">
      <c r="A23" s="74">
        <f>IF(B23="","",ROW()-1)</f>
        <v/>
      </c>
      <c r="N23" s="98">
        <f>IF(OR(K23="",G23="",J23=""),"",IF(E23="LONG",(K23-G23)*J23,(G23-K23)*J23))</f>
        <v/>
      </c>
      <c r="O23" s="99">
        <f>IF(OR(K23="",G23="",G23=0),"",IF(E23="LONG",(K23-G23)/G23,(G23-K23)/G23))</f>
        <v/>
      </c>
      <c r="P23" s="100">
        <f>IF(OR(N23="",H23="",G23="",ABS(G23-H23)=0),"",N23/(ABS(G23-H23)*J23))</f>
        <v/>
      </c>
      <c r="Q23" s="74">
        <f>IF(N23="","",IF(N23&gt;0,"WIN",IF(N23&lt;0,"LOSS","FLAT")))</f>
        <v/>
      </c>
      <c r="AC23" s="98">
        <f>IF(N23="","",N23-IF(Z23="",0,Z23))</f>
        <v/>
      </c>
    </row>
    <row r="24" ht="15" customHeight="1" s="75">
      <c r="A24" s="74">
        <f>IF(B24="","",ROW()-1)</f>
        <v/>
      </c>
      <c r="N24" s="98">
        <f>IF(OR(K24="",G24="",J24=""),"",IF(E24="LONG",(K24-G24)*J24,(G24-K24)*J24))</f>
        <v/>
      </c>
      <c r="O24" s="99">
        <f>IF(OR(K24="",G24="",G24=0),"",IF(E24="LONG",(K24-G24)/G24,(G24-K24)/G24))</f>
        <v/>
      </c>
      <c r="P24" s="100">
        <f>IF(OR(N24="",H24="",G24="",ABS(G24-H24)=0),"",N24/(ABS(G24-H24)*J24))</f>
        <v/>
      </c>
      <c r="Q24" s="74">
        <f>IF(N24="","",IF(N24&gt;0,"WIN",IF(N24&lt;0,"LOSS","FLAT")))</f>
        <v/>
      </c>
      <c r="AC24" s="98">
        <f>IF(N24="","",N24-IF(Z24="",0,Z24))</f>
        <v/>
      </c>
    </row>
    <row r="25" ht="15" customHeight="1" s="75">
      <c r="A25" s="74">
        <f>IF(B25="","",ROW()-1)</f>
        <v/>
      </c>
      <c r="N25" s="98">
        <f>IF(OR(K25="",G25="",J25=""),"",IF(E25="LONG",(K25-G25)*J25,(G25-K25)*J25))</f>
        <v/>
      </c>
      <c r="O25" s="99">
        <f>IF(OR(K25="",G25="",G25=0),"",IF(E25="LONG",(K25-G25)/G25,(G25-K25)/G25))</f>
        <v/>
      </c>
      <c r="P25" s="100">
        <f>IF(OR(N25="",H25="",G25="",ABS(G25-H25)=0),"",N25/(ABS(G25-H25)*J25))</f>
        <v/>
      </c>
      <c r="Q25" s="74">
        <f>IF(N25="","",IF(N25&gt;0,"WIN",IF(N25&lt;0,"LOSS","FLAT")))</f>
        <v/>
      </c>
      <c r="AC25" s="98">
        <f>IF(N25="","",N25-IF(Z25="",0,Z25))</f>
        <v/>
      </c>
    </row>
    <row r="26" ht="15" customHeight="1" s="75">
      <c r="A26" s="74">
        <f>IF(B26="","",ROW()-1)</f>
        <v/>
      </c>
      <c r="N26" s="98">
        <f>IF(OR(K26="",G26="",J26=""),"",IF(E26="LONG",(K26-G26)*J26,(G26-K26)*J26))</f>
        <v/>
      </c>
      <c r="O26" s="99">
        <f>IF(OR(K26="",G26="",G26=0),"",IF(E26="LONG",(K26-G26)/G26,(G26-K26)/G26))</f>
        <v/>
      </c>
      <c r="P26" s="100">
        <f>IF(OR(N26="",H26="",G26="",ABS(G26-H26)=0),"",N26/(ABS(G26-H26)*J26))</f>
        <v/>
      </c>
      <c r="Q26" s="74">
        <f>IF(N26="","",IF(N26&gt;0,"WIN",IF(N26&lt;0,"LOSS","FLAT")))</f>
        <v/>
      </c>
      <c r="AC26" s="98">
        <f>IF(N26="","",N26-IF(Z26="",0,Z26))</f>
        <v/>
      </c>
    </row>
    <row r="27" ht="15" customHeight="1" s="75">
      <c r="A27" s="74">
        <f>IF(B27="","",ROW()-1)</f>
        <v/>
      </c>
      <c r="N27" s="98">
        <f>IF(OR(K27="",G27="",J27=""),"",IF(E27="LONG",(K27-G27)*J27,(G27-K27)*J27))</f>
        <v/>
      </c>
      <c r="O27" s="99">
        <f>IF(OR(K27="",G27="",G27=0),"",IF(E27="LONG",(K27-G27)/G27,(G27-K27)/G27))</f>
        <v/>
      </c>
      <c r="P27" s="100">
        <f>IF(OR(N27="",H27="",G27="",ABS(G27-H27)=0),"",N27/(ABS(G27-H27)*J27))</f>
        <v/>
      </c>
      <c r="Q27" s="74">
        <f>IF(N27="","",IF(N27&gt;0,"WIN",IF(N27&lt;0,"LOSS","FLAT")))</f>
        <v/>
      </c>
      <c r="AC27" s="98">
        <f>IF(N27="","",N27-IF(Z27="",0,Z27))</f>
        <v/>
      </c>
    </row>
    <row r="28" ht="15" customHeight="1" s="75">
      <c r="A28" s="74">
        <f>IF(B28="","",ROW()-1)</f>
        <v/>
      </c>
      <c r="N28" s="98">
        <f>IF(OR(K28="",G28="",J28=""),"",IF(E28="LONG",(K28-G28)*J28,(G28-K28)*J28))</f>
        <v/>
      </c>
      <c r="O28" s="99">
        <f>IF(OR(K28="",G28="",G28=0),"",IF(E28="LONG",(K28-G28)/G28,(G28-K28)/G28))</f>
        <v/>
      </c>
      <c r="P28" s="100">
        <f>IF(OR(N28="",H28="",G28="",ABS(G28-H28)=0),"",N28/(ABS(G28-H28)*J28))</f>
        <v/>
      </c>
      <c r="Q28" s="74">
        <f>IF(N28="","",IF(N28&gt;0,"WIN",IF(N28&lt;0,"LOSS","FLAT")))</f>
        <v/>
      </c>
      <c r="AC28" s="98">
        <f>IF(N28="","",N28-IF(Z28="",0,Z28))</f>
        <v/>
      </c>
    </row>
    <row r="29" ht="15" customHeight="1" s="75">
      <c r="A29" s="74">
        <f>IF(B29="","",ROW()-1)</f>
        <v/>
      </c>
      <c r="N29" s="98">
        <f>IF(OR(K29="",G29="",J29=""),"",IF(E29="LONG",(K29-G29)*J29,(G29-K29)*J29))</f>
        <v/>
      </c>
      <c r="O29" s="99">
        <f>IF(OR(K29="",G29="",G29=0),"",IF(E29="LONG",(K29-G29)/G29,(G29-K29)/G29))</f>
        <v/>
      </c>
      <c r="P29" s="100">
        <f>IF(OR(N29="",H29="",G29="",ABS(G29-H29)=0),"",N29/(ABS(G29-H29)*J29))</f>
        <v/>
      </c>
      <c r="Q29" s="74">
        <f>IF(N29="","",IF(N29&gt;0,"WIN",IF(N29&lt;0,"LOSS","FLAT")))</f>
        <v/>
      </c>
      <c r="AC29" s="98">
        <f>IF(N29="","",N29-IF(Z29="",0,Z29))</f>
        <v/>
      </c>
    </row>
    <row r="30" ht="15" customHeight="1" s="75">
      <c r="A30" s="74">
        <f>IF(B30="","",ROW()-1)</f>
        <v/>
      </c>
      <c r="N30" s="98">
        <f>IF(OR(K30="",G30="",J30=""),"",IF(E30="LONG",(K30-G30)*J30,(G30-K30)*J30))</f>
        <v/>
      </c>
      <c r="O30" s="99">
        <f>IF(OR(K30="",G30="",G30=0),"",IF(E30="LONG",(K30-G30)/G30,(G30-K30)/G30))</f>
        <v/>
      </c>
      <c r="P30" s="100">
        <f>IF(OR(N30="",H30="",G30="",ABS(G30-H30)=0),"",N30/(ABS(G30-H30)*J30))</f>
        <v/>
      </c>
      <c r="Q30" s="74">
        <f>IF(N30="","",IF(N30&gt;0,"WIN",IF(N30&lt;0,"LOSS","FLAT")))</f>
        <v/>
      </c>
      <c r="AC30" s="98">
        <f>IF(N30="","",N30-IF(Z30="",0,Z30))</f>
        <v/>
      </c>
    </row>
    <row r="31" ht="15" customHeight="1" s="75">
      <c r="A31" s="74">
        <f>IF(B31="","",ROW()-1)</f>
        <v/>
      </c>
      <c r="N31" s="98">
        <f>IF(OR(K31="",G31="",J31=""),"",IF(E31="LONG",(K31-G31)*J31,(G31-K31)*J31))</f>
        <v/>
      </c>
      <c r="O31" s="99">
        <f>IF(OR(K31="",G31="",G31=0),"",IF(E31="LONG",(K31-G31)/G31,(G31-K31)/G31))</f>
        <v/>
      </c>
      <c r="P31" s="100">
        <f>IF(OR(N31="",H31="",G31="",ABS(G31-H31)=0),"",N31/(ABS(G31-H31)*J31))</f>
        <v/>
      </c>
      <c r="Q31" s="74">
        <f>IF(N31="","",IF(N31&gt;0,"WIN",IF(N31&lt;0,"LOSS","FLAT")))</f>
        <v/>
      </c>
      <c r="AC31" s="98">
        <f>IF(N31="","",N31-IF(Z31="",0,Z31))</f>
        <v/>
      </c>
    </row>
    <row r="32" ht="15" customHeight="1" s="75">
      <c r="A32" s="74">
        <f>IF(B32="","",ROW()-1)</f>
        <v/>
      </c>
      <c r="N32" s="98">
        <f>IF(OR(K32="",G32="",J32=""),"",IF(E32="LONG",(K32-G32)*J32,(G32-K32)*J32))</f>
        <v/>
      </c>
      <c r="O32" s="99">
        <f>IF(OR(K32="",G32="",G32=0),"",IF(E32="LONG",(K32-G32)/G32,(G32-K32)/G32))</f>
        <v/>
      </c>
      <c r="P32" s="100">
        <f>IF(OR(N32="",H32="",G32="",ABS(G32-H32)=0),"",N32/(ABS(G32-H32)*J32))</f>
        <v/>
      </c>
      <c r="Q32" s="74">
        <f>IF(N32="","",IF(N32&gt;0,"WIN",IF(N32&lt;0,"LOSS","FLAT")))</f>
        <v/>
      </c>
      <c r="AC32" s="98">
        <f>IF(N32="","",N32-IF(Z32="",0,Z32))</f>
        <v/>
      </c>
    </row>
    <row r="33" ht="15" customHeight="1" s="75">
      <c r="A33" s="74">
        <f>IF(B33="","",ROW()-1)</f>
        <v/>
      </c>
      <c r="N33" s="98">
        <f>IF(OR(K33="",G33="",J33=""),"",IF(E33="LONG",(K33-G33)*J33,(G33-K33)*J33))</f>
        <v/>
      </c>
      <c r="O33" s="99">
        <f>IF(OR(K33="",G33="",G33=0),"",IF(E33="LONG",(K33-G33)/G33,(G33-K33)/G33))</f>
        <v/>
      </c>
      <c r="P33" s="100">
        <f>IF(OR(N33="",H33="",G33="",ABS(G33-H33)=0),"",N33/(ABS(G33-H33)*J33))</f>
        <v/>
      </c>
      <c r="Q33" s="74">
        <f>IF(N33="","",IF(N33&gt;0,"WIN",IF(N33&lt;0,"LOSS","FLAT")))</f>
        <v/>
      </c>
      <c r="AC33" s="98">
        <f>IF(N33="","",N33-IF(Z33="",0,Z33))</f>
        <v/>
      </c>
    </row>
    <row r="34" ht="15" customHeight="1" s="75">
      <c r="A34" s="74">
        <f>IF(B34="","",ROW()-1)</f>
        <v/>
      </c>
      <c r="N34" s="98">
        <f>IF(OR(K34="",G34="",J34=""),"",IF(E34="LONG",(K34-G34)*J34,(G34-K34)*J34))</f>
        <v/>
      </c>
      <c r="O34" s="99">
        <f>IF(OR(K34="",G34="",G34=0),"",IF(E34="LONG",(K34-G34)/G34,(G34-K34)/G34))</f>
        <v/>
      </c>
      <c r="P34" s="100">
        <f>IF(OR(N34="",H34="",G34="",ABS(G34-H34)=0),"",N34/(ABS(G34-H34)*J34))</f>
        <v/>
      </c>
      <c r="Q34" s="74">
        <f>IF(N34="","",IF(N34&gt;0,"WIN",IF(N34&lt;0,"LOSS","FLAT")))</f>
        <v/>
      </c>
      <c r="AC34" s="98">
        <f>IF(N34="","",N34-IF(Z34="",0,Z34))</f>
        <v/>
      </c>
    </row>
    <row r="35" ht="15" customHeight="1" s="75">
      <c r="A35" s="74">
        <f>IF(B35="","",ROW()-1)</f>
        <v/>
      </c>
      <c r="N35" s="98">
        <f>IF(OR(K35="",G35="",J35=""),"",IF(E35="LONG",(K35-G35)*J35,(G35-K35)*J35))</f>
        <v/>
      </c>
      <c r="O35" s="99">
        <f>IF(OR(K35="",G35="",G35=0),"",IF(E35="LONG",(K35-G35)/G35,(G35-K35)/G35))</f>
        <v/>
      </c>
      <c r="P35" s="100">
        <f>IF(OR(N35="",H35="",G35="",ABS(G35-H35)=0),"",N35/(ABS(G35-H35)*J35))</f>
        <v/>
      </c>
      <c r="Q35" s="74">
        <f>IF(N35="","",IF(N35&gt;0,"WIN",IF(N35&lt;0,"LOSS","FLAT")))</f>
        <v/>
      </c>
      <c r="AC35" s="98">
        <f>IF(N35="","",N35-IF(Z35="",0,Z35))</f>
        <v/>
      </c>
    </row>
    <row r="36" ht="15" customHeight="1" s="75">
      <c r="A36" s="74">
        <f>IF(B36="","",ROW()-1)</f>
        <v/>
      </c>
      <c r="N36" s="98">
        <f>IF(OR(K36="",G36="",J36=""),"",IF(E36="LONG",(K36-G36)*J36,(G36-K36)*J36))</f>
        <v/>
      </c>
      <c r="O36" s="99">
        <f>IF(OR(K36="",G36="",G36=0),"",IF(E36="LONG",(K36-G36)/G36,(G36-K36)/G36))</f>
        <v/>
      </c>
      <c r="P36" s="100">
        <f>IF(OR(N36="",H36="",G36="",ABS(G36-H36)=0),"",N36/(ABS(G36-H36)*J36))</f>
        <v/>
      </c>
      <c r="Q36" s="74">
        <f>IF(N36="","",IF(N36&gt;0,"WIN",IF(N36&lt;0,"LOSS","FLAT")))</f>
        <v/>
      </c>
      <c r="AC36" s="98">
        <f>IF(N36="","",N36-IF(Z36="",0,Z36))</f>
        <v/>
      </c>
    </row>
    <row r="37" ht="15" customHeight="1" s="75">
      <c r="A37" s="74">
        <f>IF(B37="","",ROW()-1)</f>
        <v/>
      </c>
      <c r="N37" s="98">
        <f>IF(OR(K37="",G37="",J37=""),"",IF(E37="LONG",(K37-G37)*J37,(G37-K37)*J37))</f>
        <v/>
      </c>
      <c r="O37" s="99">
        <f>IF(OR(K37="",G37="",G37=0),"",IF(E37="LONG",(K37-G37)/G37,(G37-K37)/G37))</f>
        <v/>
      </c>
      <c r="P37" s="100">
        <f>IF(OR(N37="",H37="",G37="",ABS(G37-H37)=0),"",N37/(ABS(G37-H37)*J37))</f>
        <v/>
      </c>
      <c r="Q37" s="74">
        <f>IF(N37="","",IF(N37&gt;0,"WIN",IF(N37&lt;0,"LOSS","FLAT")))</f>
        <v/>
      </c>
      <c r="AC37" s="98">
        <f>IF(N37="","",N37-IF(Z37="",0,Z37))</f>
        <v/>
      </c>
    </row>
    <row r="38" ht="15" customHeight="1" s="75">
      <c r="A38" s="74">
        <f>IF(B38="","",ROW()-1)</f>
        <v/>
      </c>
      <c r="N38" s="98">
        <f>IF(OR(K38="",G38="",J38=""),"",IF(E38="LONG",(K38-G38)*J38,(G38-K38)*J38))</f>
        <v/>
      </c>
      <c r="O38" s="99">
        <f>IF(OR(K38="",G38="",G38=0),"",IF(E38="LONG",(K38-G38)/G38,(G38-K38)/G38))</f>
        <v/>
      </c>
      <c r="P38" s="100">
        <f>IF(OR(N38="",H38="",G38="",ABS(G38-H38)=0),"",N38/(ABS(G38-H38)*J38))</f>
        <v/>
      </c>
      <c r="Q38" s="74">
        <f>IF(N38="","",IF(N38&gt;0,"WIN",IF(N38&lt;0,"LOSS","FLAT")))</f>
        <v/>
      </c>
      <c r="AC38" s="98">
        <f>IF(N38="","",N38-IF(Z38="",0,Z38))</f>
        <v/>
      </c>
    </row>
    <row r="39" ht="15" customHeight="1" s="75">
      <c r="A39" s="74">
        <f>IF(B39="","",ROW()-1)</f>
        <v/>
      </c>
      <c r="N39" s="98">
        <f>IF(OR(K39="",G39="",J39=""),"",IF(E39="LONG",(K39-G39)*J39,(G39-K39)*J39))</f>
        <v/>
      </c>
      <c r="O39" s="99">
        <f>IF(OR(K39="",G39="",G39=0),"",IF(E39="LONG",(K39-G39)/G39,(G39-K39)/G39))</f>
        <v/>
      </c>
      <c r="P39" s="100">
        <f>IF(OR(N39="",H39="",G39="",ABS(G39-H39)=0),"",N39/(ABS(G39-H39)*J39))</f>
        <v/>
      </c>
      <c r="Q39" s="74">
        <f>IF(N39="","",IF(N39&gt;0,"WIN",IF(N39&lt;0,"LOSS","FLAT")))</f>
        <v/>
      </c>
      <c r="AC39" s="98">
        <f>IF(N39="","",N39-IF(Z39="",0,Z39))</f>
        <v/>
      </c>
    </row>
    <row r="40" ht="15" customHeight="1" s="75">
      <c r="A40" s="74">
        <f>IF(B40="","",ROW()-1)</f>
        <v/>
      </c>
      <c r="N40" s="98">
        <f>IF(OR(K40="",G40="",J40=""),"",IF(E40="LONG",(K40-G40)*J40,(G40-K40)*J40))</f>
        <v/>
      </c>
      <c r="O40" s="99">
        <f>IF(OR(K40="",G40="",G40=0),"",IF(E40="LONG",(K40-G40)/G40,(G40-K40)/G40))</f>
        <v/>
      </c>
      <c r="P40" s="100">
        <f>IF(OR(N40="",H40="",G40="",ABS(G40-H40)=0),"",N40/(ABS(G40-H40)*J40))</f>
        <v/>
      </c>
      <c r="Q40" s="74">
        <f>IF(N40="","",IF(N40&gt;0,"WIN",IF(N40&lt;0,"LOSS","FLAT")))</f>
        <v/>
      </c>
      <c r="AC40" s="98">
        <f>IF(N40="","",N40-IF(Z40="",0,Z40))</f>
        <v/>
      </c>
    </row>
    <row r="41" ht="15" customHeight="1" s="75">
      <c r="A41" s="74">
        <f>IF(B41="","",ROW()-1)</f>
        <v/>
      </c>
      <c r="N41" s="98">
        <f>IF(OR(K41="",G41="",J41=""),"",IF(E41="LONG",(K41-G41)*J41,(G41-K41)*J41))</f>
        <v/>
      </c>
      <c r="O41" s="99">
        <f>IF(OR(K41="",G41="",G41=0),"",IF(E41="LONG",(K41-G41)/G41,(G41-K41)/G41))</f>
        <v/>
      </c>
      <c r="P41" s="100">
        <f>IF(OR(N41="",H41="",G41="",ABS(G41-H41)=0),"",N41/(ABS(G41-H41)*J41))</f>
        <v/>
      </c>
      <c r="Q41" s="74">
        <f>IF(N41="","",IF(N41&gt;0,"WIN",IF(N41&lt;0,"LOSS","FLAT")))</f>
        <v/>
      </c>
      <c r="AC41" s="98">
        <f>IF(N41="","",N41-IF(Z41="",0,Z41))</f>
        <v/>
      </c>
    </row>
    <row r="42" ht="15" customHeight="1" s="75">
      <c r="A42" s="74">
        <f>IF(B42="","",ROW()-1)</f>
        <v/>
      </c>
      <c r="N42" s="98">
        <f>IF(OR(K42="",G42="",J42=""),"",IF(E42="LONG",(K42-G42)*J42,(G42-K42)*J42))</f>
        <v/>
      </c>
      <c r="O42" s="99">
        <f>IF(OR(K42="",G42="",G42=0),"",IF(E42="LONG",(K42-G42)/G42,(G42-K42)/G42))</f>
        <v/>
      </c>
      <c r="P42" s="100">
        <f>IF(OR(N42="",H42="",G42="",ABS(G42-H42)=0),"",N42/(ABS(G42-H42)*J42))</f>
        <v/>
      </c>
      <c r="Q42" s="74">
        <f>IF(N42="","",IF(N42&gt;0,"WIN",IF(N42&lt;0,"LOSS","FLAT")))</f>
        <v/>
      </c>
      <c r="AC42" s="98">
        <f>IF(N42="","",N42-IF(Z42="",0,Z42))</f>
        <v/>
      </c>
    </row>
    <row r="43" ht="15" customHeight="1" s="75">
      <c r="A43" s="74">
        <f>IF(B43="","",ROW()-1)</f>
        <v/>
      </c>
      <c r="N43" s="98">
        <f>IF(OR(K43="",G43="",J43=""),"",IF(E43="LONG",(K43-G43)*J43,(G43-K43)*J43))</f>
        <v/>
      </c>
      <c r="O43" s="99">
        <f>IF(OR(K43="",G43="",G43=0),"",IF(E43="LONG",(K43-G43)/G43,(G43-K43)/G43))</f>
        <v/>
      </c>
      <c r="P43" s="100">
        <f>IF(OR(N43="",H43="",G43="",ABS(G43-H43)=0),"",N43/(ABS(G43-H43)*J43))</f>
        <v/>
      </c>
      <c r="Q43" s="74">
        <f>IF(N43="","",IF(N43&gt;0,"WIN",IF(N43&lt;0,"LOSS","FLAT")))</f>
        <v/>
      </c>
      <c r="AC43" s="98">
        <f>IF(N43="","",N43-IF(Z43="",0,Z43))</f>
        <v/>
      </c>
    </row>
    <row r="44" ht="15" customHeight="1" s="75">
      <c r="A44" s="74">
        <f>IF(B44="","",ROW()-1)</f>
        <v/>
      </c>
      <c r="N44" s="98">
        <f>IF(OR(K44="",G44="",J44=""),"",IF(E44="LONG",(K44-G44)*J44,(G44-K44)*J44))</f>
        <v/>
      </c>
      <c r="O44" s="99">
        <f>IF(OR(K44="",G44="",G44=0),"",IF(E44="LONG",(K44-G44)/G44,(G44-K44)/G44))</f>
        <v/>
      </c>
      <c r="P44" s="100">
        <f>IF(OR(N44="",H44="",G44="",ABS(G44-H44)=0),"",N44/(ABS(G44-H44)*J44))</f>
        <v/>
      </c>
      <c r="Q44" s="74">
        <f>IF(N44="","",IF(N44&gt;0,"WIN",IF(N44&lt;0,"LOSS","FLAT")))</f>
        <v/>
      </c>
      <c r="AC44" s="98">
        <f>IF(N44="","",N44-IF(Z44="",0,Z44))</f>
        <v/>
      </c>
    </row>
    <row r="45" ht="15" customHeight="1" s="75">
      <c r="A45" s="74">
        <f>IF(B45="","",ROW()-1)</f>
        <v/>
      </c>
      <c r="N45" s="98">
        <f>IF(OR(K45="",G45="",J45=""),"",IF(E45="LONG",(K45-G45)*J45,(G45-K45)*J45))</f>
        <v/>
      </c>
      <c r="O45" s="99">
        <f>IF(OR(K45="",G45="",G45=0),"",IF(E45="LONG",(K45-G45)/G45,(G45-K45)/G45))</f>
        <v/>
      </c>
      <c r="P45" s="100">
        <f>IF(OR(N45="",H45="",G45="",ABS(G45-H45)=0),"",N45/(ABS(G45-H45)*J45))</f>
        <v/>
      </c>
      <c r="Q45" s="74">
        <f>IF(N45="","",IF(N45&gt;0,"WIN",IF(N45&lt;0,"LOSS","FLAT")))</f>
        <v/>
      </c>
      <c r="AC45" s="98">
        <f>IF(N45="","",N45-IF(Z45="",0,Z45))</f>
        <v/>
      </c>
    </row>
    <row r="46" ht="15" customHeight="1" s="75">
      <c r="A46" s="74">
        <f>IF(B46="","",ROW()-1)</f>
        <v/>
      </c>
      <c r="N46" s="98">
        <f>IF(OR(K46="",G46="",J46=""),"",IF(E46="LONG",(K46-G46)*J46,(G46-K46)*J46))</f>
        <v/>
      </c>
      <c r="O46" s="99">
        <f>IF(OR(K46="",G46="",G46=0),"",IF(E46="LONG",(K46-G46)/G46,(G46-K46)/G46))</f>
        <v/>
      </c>
      <c r="P46" s="100">
        <f>IF(OR(N46="",H46="",G46="",ABS(G46-H46)=0),"",N46/(ABS(G46-H46)*J46))</f>
        <v/>
      </c>
      <c r="Q46" s="74">
        <f>IF(N46="","",IF(N46&gt;0,"WIN",IF(N46&lt;0,"LOSS","FLAT")))</f>
        <v/>
      </c>
      <c r="AC46" s="98">
        <f>IF(N46="","",N46-IF(Z46="",0,Z46))</f>
        <v/>
      </c>
    </row>
    <row r="47" ht="15" customHeight="1" s="75">
      <c r="A47" s="74">
        <f>IF(B47="","",ROW()-1)</f>
        <v/>
      </c>
      <c r="N47" s="98">
        <f>IF(OR(K47="",G47="",J47=""),"",IF(E47="LONG",(K47-G47)*J47,(G47-K47)*J47))</f>
        <v/>
      </c>
      <c r="O47" s="99">
        <f>IF(OR(K47="",G47="",G47=0),"",IF(E47="LONG",(K47-G47)/G47,(G47-K47)/G47))</f>
        <v/>
      </c>
      <c r="P47" s="100">
        <f>IF(OR(N47="",H47="",G47="",ABS(G47-H47)=0),"",N47/(ABS(G47-H47)*J47))</f>
        <v/>
      </c>
      <c r="Q47" s="74">
        <f>IF(N47="","",IF(N47&gt;0,"WIN",IF(N47&lt;0,"LOSS","FLAT")))</f>
        <v/>
      </c>
      <c r="AC47" s="98">
        <f>IF(N47="","",N47-IF(Z47="",0,Z47))</f>
        <v/>
      </c>
    </row>
    <row r="48" ht="15" customHeight="1" s="75">
      <c r="A48" s="74">
        <f>IF(B48="","",ROW()-1)</f>
        <v/>
      </c>
      <c r="N48" s="98">
        <f>IF(OR(K48="",G48="",J48=""),"",IF(E48="LONG",(K48-G48)*J48,(G48-K48)*J48))</f>
        <v/>
      </c>
      <c r="O48" s="99">
        <f>IF(OR(K48="",G48="",G48=0),"",IF(E48="LONG",(K48-G48)/G48,(G48-K48)/G48))</f>
        <v/>
      </c>
      <c r="P48" s="100">
        <f>IF(OR(N48="",H48="",G48="",ABS(G48-H48)=0),"",N48/(ABS(G48-H48)*J48))</f>
        <v/>
      </c>
      <c r="Q48" s="74">
        <f>IF(N48="","",IF(N48&gt;0,"WIN",IF(N48&lt;0,"LOSS","FLAT")))</f>
        <v/>
      </c>
      <c r="AC48" s="98">
        <f>IF(N48="","",N48-IF(Z48="",0,Z48))</f>
        <v/>
      </c>
    </row>
    <row r="49" ht="15" customHeight="1" s="75">
      <c r="A49" s="74">
        <f>IF(B49="","",ROW()-1)</f>
        <v/>
      </c>
      <c r="N49" s="98">
        <f>IF(OR(K49="",G49="",J49=""),"",IF(E49="LONG",(K49-G49)*J49,(G49-K49)*J49))</f>
        <v/>
      </c>
      <c r="O49" s="99">
        <f>IF(OR(K49="",G49="",G49=0),"",IF(E49="LONG",(K49-G49)/G49,(G49-K49)/G49))</f>
        <v/>
      </c>
      <c r="P49" s="100">
        <f>IF(OR(N49="",H49="",G49="",ABS(G49-H49)=0),"",N49/(ABS(G49-H49)*J49))</f>
        <v/>
      </c>
      <c r="Q49" s="74">
        <f>IF(N49="","",IF(N49&gt;0,"WIN",IF(N49&lt;0,"LOSS","FLAT")))</f>
        <v/>
      </c>
      <c r="AC49" s="98">
        <f>IF(N49="","",N49-IF(Z49="",0,Z49))</f>
        <v/>
      </c>
    </row>
    <row r="50" ht="15" customHeight="1" s="75">
      <c r="A50" s="74">
        <f>IF(B50="","",ROW()-1)</f>
        <v/>
      </c>
      <c r="N50" s="98">
        <f>IF(OR(K50="",G50="",J50=""),"",IF(E50="LONG",(K50-G50)*J50,(G50-K50)*J50))</f>
        <v/>
      </c>
      <c r="O50" s="99">
        <f>IF(OR(K50="",G50="",G50=0),"",IF(E50="LONG",(K50-G50)/G50,(G50-K50)/G50))</f>
        <v/>
      </c>
      <c r="P50" s="100">
        <f>IF(OR(N50="",H50="",G50="",ABS(G50-H50)=0),"",N50/(ABS(G50-H50)*J50))</f>
        <v/>
      </c>
      <c r="Q50" s="74">
        <f>IF(N50="","",IF(N50&gt;0,"WIN",IF(N50&lt;0,"LOSS","FLAT")))</f>
        <v/>
      </c>
      <c r="AC50" s="98">
        <f>IF(N50="","",N50-IF(Z50="",0,Z50))</f>
        <v/>
      </c>
    </row>
    <row r="51" ht="15" customHeight="1" s="75">
      <c r="A51" s="74">
        <f>IF(B51="","",ROW()-1)</f>
        <v/>
      </c>
      <c r="N51" s="98">
        <f>IF(OR(K51="",G51="",J51=""),"",IF(E51="LONG",(K51-G51)*J51,(G51-K51)*J51))</f>
        <v/>
      </c>
      <c r="O51" s="99">
        <f>IF(OR(K51="",G51="",G51=0),"",IF(E51="LONG",(K51-G51)/G51,(G51-K51)/G51))</f>
        <v/>
      </c>
      <c r="P51" s="100">
        <f>IF(OR(N51="",H51="",G51="",ABS(G51-H51)=0),"",N51/(ABS(G51-H51)*J51))</f>
        <v/>
      </c>
      <c r="Q51" s="74">
        <f>IF(N51="","",IF(N51&gt;0,"WIN",IF(N51&lt;0,"LOSS","FLAT")))</f>
        <v/>
      </c>
      <c r="AC51" s="98">
        <f>IF(N51="","",N51-IF(Z51="",0,Z51))</f>
        <v/>
      </c>
    </row>
    <row r="52" ht="15" customHeight="1" s="75">
      <c r="A52" s="74">
        <f>IF(B52="","",ROW()-1)</f>
        <v/>
      </c>
      <c r="N52" s="98">
        <f>IF(OR(K52="",G52="",J52=""),"",IF(E52="LONG",(K52-G52)*J52,(G52-K52)*J52))</f>
        <v/>
      </c>
      <c r="O52" s="99">
        <f>IF(OR(K52="",G52="",G52=0),"",IF(E52="LONG",(K52-G52)/G52,(G52-K52)/G52))</f>
        <v/>
      </c>
      <c r="P52" s="100">
        <f>IF(OR(N52="",H52="",G52="",ABS(G52-H52)=0),"",N52/(ABS(G52-H52)*J52))</f>
        <v/>
      </c>
      <c r="Q52" s="74">
        <f>IF(N52="","",IF(N52&gt;0,"WIN",IF(N52&lt;0,"LOSS","FLAT")))</f>
        <v/>
      </c>
      <c r="AC52" s="98">
        <f>IF(N52="","",N52-IF(Z52="",0,Z52))</f>
        <v/>
      </c>
    </row>
    <row r="53" ht="15" customHeight="1" s="75">
      <c r="A53" s="74">
        <f>IF(B53="","",ROW()-1)</f>
        <v/>
      </c>
      <c r="N53" s="98">
        <f>IF(OR(K53="",G53="",J53=""),"",IF(E53="LONG",(K53-G53)*J53,(G53-K53)*J53))</f>
        <v/>
      </c>
      <c r="O53" s="99">
        <f>IF(OR(K53="",G53="",G53=0),"",IF(E53="LONG",(K53-G53)/G53,(G53-K53)/G53))</f>
        <v/>
      </c>
      <c r="P53" s="100">
        <f>IF(OR(N53="",H53="",G53="",ABS(G53-H53)=0),"",N53/(ABS(G53-H53)*J53))</f>
        <v/>
      </c>
      <c r="Q53" s="74">
        <f>IF(N53="","",IF(N53&gt;0,"WIN",IF(N53&lt;0,"LOSS","FLAT")))</f>
        <v/>
      </c>
      <c r="AC53" s="98">
        <f>IF(N53="","",N53-IF(Z53="",0,Z53))</f>
        <v/>
      </c>
    </row>
    <row r="54" ht="15" customHeight="1" s="75">
      <c r="A54" s="74">
        <f>IF(B54="","",ROW()-1)</f>
        <v/>
      </c>
      <c r="N54" s="98">
        <f>IF(OR(K54="",G54="",J54=""),"",IF(E54="LONG",(K54-G54)*J54,(G54-K54)*J54))</f>
        <v/>
      </c>
      <c r="O54" s="99">
        <f>IF(OR(K54="",G54="",G54=0),"",IF(E54="LONG",(K54-G54)/G54,(G54-K54)/G54))</f>
        <v/>
      </c>
      <c r="P54" s="100">
        <f>IF(OR(N54="",H54="",G54="",ABS(G54-H54)=0),"",N54/(ABS(G54-H54)*J54))</f>
        <v/>
      </c>
      <c r="Q54" s="74">
        <f>IF(N54="","",IF(N54&gt;0,"WIN",IF(N54&lt;0,"LOSS","FLAT")))</f>
        <v/>
      </c>
      <c r="AC54" s="98">
        <f>IF(N54="","",N54-IF(Z54="",0,Z54))</f>
        <v/>
      </c>
    </row>
    <row r="55" ht="15" customHeight="1" s="75">
      <c r="A55" s="74">
        <f>IF(B55="","",ROW()-1)</f>
        <v/>
      </c>
      <c r="N55" s="98">
        <f>IF(OR(K55="",G55="",J55=""),"",IF(E55="LONG",(K55-G55)*J55,(G55-K55)*J55))</f>
        <v/>
      </c>
      <c r="O55" s="99">
        <f>IF(OR(K55="",G55="",G55=0),"",IF(E55="LONG",(K55-G55)/G55,(G55-K55)/G55))</f>
        <v/>
      </c>
      <c r="P55" s="100">
        <f>IF(OR(N55="",H55="",G55="",ABS(G55-H55)=0),"",N55/(ABS(G55-H55)*J55))</f>
        <v/>
      </c>
      <c r="Q55" s="74">
        <f>IF(N55="","",IF(N55&gt;0,"WIN",IF(N55&lt;0,"LOSS","FLAT")))</f>
        <v/>
      </c>
      <c r="AC55" s="98">
        <f>IF(N55="","",N55-IF(Z55="",0,Z55))</f>
        <v/>
      </c>
    </row>
    <row r="56" ht="15" customHeight="1" s="75">
      <c r="A56" s="74">
        <f>IF(B56="","",ROW()-1)</f>
        <v/>
      </c>
      <c r="N56" s="98">
        <f>IF(OR(K56="",G56="",J56=""),"",IF(E56="LONG",(K56-G56)*J56,(G56-K56)*J56))</f>
        <v/>
      </c>
      <c r="O56" s="99">
        <f>IF(OR(K56="",G56="",G56=0),"",IF(E56="LONG",(K56-G56)/G56,(G56-K56)/G56))</f>
        <v/>
      </c>
      <c r="P56" s="100">
        <f>IF(OR(N56="",H56="",G56="",ABS(G56-H56)=0),"",N56/(ABS(G56-H56)*J56))</f>
        <v/>
      </c>
      <c r="Q56" s="74">
        <f>IF(N56="","",IF(N56&gt;0,"WIN",IF(N56&lt;0,"LOSS","FLAT")))</f>
        <v/>
      </c>
      <c r="AC56" s="98">
        <f>IF(N56="","",N56-IF(Z56="",0,Z56))</f>
        <v/>
      </c>
    </row>
    <row r="57" ht="15" customHeight="1" s="75">
      <c r="A57" s="74">
        <f>IF(B57="","",ROW()-1)</f>
        <v/>
      </c>
      <c r="N57" s="98">
        <f>IF(OR(K57="",G57="",J57=""),"",IF(E57="LONG",(K57-G57)*J57,(G57-K57)*J57))</f>
        <v/>
      </c>
      <c r="O57" s="99">
        <f>IF(OR(K57="",G57="",G57=0),"",IF(E57="LONG",(K57-G57)/G57,(G57-K57)/G57))</f>
        <v/>
      </c>
      <c r="P57" s="100">
        <f>IF(OR(N57="",H57="",G57="",ABS(G57-H57)=0),"",N57/(ABS(G57-H57)*J57))</f>
        <v/>
      </c>
      <c r="Q57" s="74">
        <f>IF(N57="","",IF(N57&gt;0,"WIN",IF(N57&lt;0,"LOSS","FLAT")))</f>
        <v/>
      </c>
      <c r="AC57" s="98">
        <f>IF(N57="","",N57-IF(Z57="",0,Z57))</f>
        <v/>
      </c>
    </row>
    <row r="58" ht="15" customHeight="1" s="75">
      <c r="A58" s="74">
        <f>IF(B58="","",ROW()-1)</f>
        <v/>
      </c>
      <c r="N58" s="98">
        <f>IF(OR(K58="",G58="",J58=""),"",IF(E58="LONG",(K58-G58)*J58,(G58-K58)*J58))</f>
        <v/>
      </c>
      <c r="O58" s="99">
        <f>IF(OR(K58="",G58="",G58=0),"",IF(E58="LONG",(K58-G58)/G58,(G58-K58)/G58))</f>
        <v/>
      </c>
      <c r="P58" s="100">
        <f>IF(OR(N58="",H58="",G58="",ABS(G58-H58)=0),"",N58/(ABS(G58-H58)*J58))</f>
        <v/>
      </c>
      <c r="Q58" s="74">
        <f>IF(N58="","",IF(N58&gt;0,"WIN",IF(N58&lt;0,"LOSS","FLAT")))</f>
        <v/>
      </c>
      <c r="AC58" s="98">
        <f>IF(N58="","",N58-IF(Z58="",0,Z58))</f>
        <v/>
      </c>
    </row>
    <row r="59" ht="15" customHeight="1" s="75">
      <c r="A59" s="74">
        <f>IF(B59="","",ROW()-1)</f>
        <v/>
      </c>
      <c r="N59" s="98">
        <f>IF(OR(K59="",G59="",J59=""),"",IF(E59="LONG",(K59-G59)*J59,(G59-K59)*J59))</f>
        <v/>
      </c>
      <c r="O59" s="99">
        <f>IF(OR(K59="",G59="",G59=0),"",IF(E59="LONG",(K59-G59)/G59,(G59-K59)/G59))</f>
        <v/>
      </c>
      <c r="P59" s="100">
        <f>IF(OR(N59="",H59="",G59="",ABS(G59-H59)=0),"",N59/(ABS(G59-H59)*J59))</f>
        <v/>
      </c>
      <c r="Q59" s="74">
        <f>IF(N59="","",IF(N59&gt;0,"WIN",IF(N59&lt;0,"LOSS","FLAT")))</f>
        <v/>
      </c>
      <c r="AC59" s="98">
        <f>IF(N59="","",N59-IF(Z59="",0,Z59))</f>
        <v/>
      </c>
    </row>
    <row r="60" ht="15" customHeight="1" s="75">
      <c r="A60" s="74">
        <f>IF(B60="","",ROW()-1)</f>
        <v/>
      </c>
      <c r="N60" s="98">
        <f>IF(OR(K60="",G60="",J60=""),"",IF(E60="LONG",(K60-G60)*J60,(G60-K60)*J60))</f>
        <v/>
      </c>
      <c r="O60" s="99">
        <f>IF(OR(K60="",G60="",G60=0),"",IF(E60="LONG",(K60-G60)/G60,(G60-K60)/G60))</f>
        <v/>
      </c>
      <c r="P60" s="100">
        <f>IF(OR(N60="",H60="",G60="",ABS(G60-H60)=0),"",N60/(ABS(G60-H60)*J60))</f>
        <v/>
      </c>
      <c r="Q60" s="74">
        <f>IF(N60="","",IF(N60&gt;0,"WIN",IF(N60&lt;0,"LOSS","FLAT")))</f>
        <v/>
      </c>
      <c r="AC60" s="98">
        <f>IF(N60="","",N60-IF(Z60="",0,Z60))</f>
        <v/>
      </c>
    </row>
    <row r="61" ht="15" customHeight="1" s="75">
      <c r="A61" s="74">
        <f>IF(B61="","",ROW()-1)</f>
        <v/>
      </c>
      <c r="N61" s="98">
        <f>IF(OR(K61="",G61="",J61=""),"",IF(E61="LONG",(K61-G61)*J61,(G61-K61)*J61))</f>
        <v/>
      </c>
      <c r="O61" s="99">
        <f>IF(OR(K61="",G61="",G61=0),"",IF(E61="LONG",(K61-G61)/G61,(G61-K61)/G61))</f>
        <v/>
      </c>
      <c r="P61" s="100">
        <f>IF(OR(N61="",H61="",G61="",ABS(G61-H61)=0),"",N61/(ABS(G61-H61)*J61))</f>
        <v/>
      </c>
      <c r="Q61" s="74">
        <f>IF(N61="","",IF(N61&gt;0,"WIN",IF(N61&lt;0,"LOSS","FLAT")))</f>
        <v/>
      </c>
      <c r="AC61" s="98">
        <f>IF(N61="","",N61-IF(Z61="",0,Z61))</f>
        <v/>
      </c>
    </row>
    <row r="62" ht="15" customHeight="1" s="75">
      <c r="A62" s="74">
        <f>IF(B62="","",ROW()-1)</f>
        <v/>
      </c>
      <c r="N62" s="98">
        <f>IF(OR(K62="",G62="",J62=""),"",IF(E62="LONG",(K62-G62)*J62,(G62-K62)*J62))</f>
        <v/>
      </c>
      <c r="O62" s="99">
        <f>IF(OR(K62="",G62="",G62=0),"",IF(E62="LONG",(K62-G62)/G62,(G62-K62)/G62))</f>
        <v/>
      </c>
      <c r="P62" s="100">
        <f>IF(OR(N62="",H62="",G62="",ABS(G62-H62)=0),"",N62/(ABS(G62-H62)*J62))</f>
        <v/>
      </c>
      <c r="Q62" s="74">
        <f>IF(N62="","",IF(N62&gt;0,"WIN",IF(N62&lt;0,"LOSS","FLAT")))</f>
        <v/>
      </c>
      <c r="AC62" s="98">
        <f>IF(N62="","",N62-IF(Z62="",0,Z62))</f>
        <v/>
      </c>
    </row>
    <row r="63" ht="15" customHeight="1" s="75">
      <c r="A63" s="74">
        <f>IF(B63="","",ROW()-1)</f>
        <v/>
      </c>
      <c r="N63" s="98">
        <f>IF(OR(K63="",G63="",J63=""),"",IF(E63="LONG",(K63-G63)*J63,(G63-K63)*J63))</f>
        <v/>
      </c>
      <c r="O63" s="99">
        <f>IF(OR(K63="",G63="",G63=0),"",IF(E63="LONG",(K63-G63)/G63,(G63-K63)/G63))</f>
        <v/>
      </c>
      <c r="P63" s="100">
        <f>IF(OR(N63="",H63="",G63="",ABS(G63-H63)=0),"",N63/(ABS(G63-H63)*J63))</f>
        <v/>
      </c>
      <c r="Q63" s="74">
        <f>IF(N63="","",IF(N63&gt;0,"WIN",IF(N63&lt;0,"LOSS","FLAT")))</f>
        <v/>
      </c>
      <c r="AC63" s="98">
        <f>IF(N63="","",N63-IF(Z63="",0,Z63))</f>
        <v/>
      </c>
    </row>
    <row r="64" ht="15" customHeight="1" s="75">
      <c r="A64" s="74">
        <f>IF(B64="","",ROW()-1)</f>
        <v/>
      </c>
      <c r="N64" s="98">
        <f>IF(OR(K64="",G64="",J64=""),"",IF(E64="LONG",(K64-G64)*J64,(G64-K64)*J64))</f>
        <v/>
      </c>
      <c r="O64" s="99">
        <f>IF(OR(K64="",G64="",G64=0),"",IF(E64="LONG",(K64-G64)/G64,(G64-K64)/G64))</f>
        <v/>
      </c>
      <c r="P64" s="100">
        <f>IF(OR(N64="",H64="",G64="",ABS(G64-H64)=0),"",N64/(ABS(G64-H64)*J64))</f>
        <v/>
      </c>
      <c r="Q64" s="74">
        <f>IF(N64="","",IF(N64&gt;0,"WIN",IF(N64&lt;0,"LOSS","FLAT")))</f>
        <v/>
      </c>
      <c r="AC64" s="98">
        <f>IF(N64="","",N64-IF(Z64="",0,Z64))</f>
        <v/>
      </c>
    </row>
    <row r="65" ht="15" customHeight="1" s="75">
      <c r="A65" s="74">
        <f>IF(B65="","",ROW()-1)</f>
        <v/>
      </c>
      <c r="N65" s="98">
        <f>IF(OR(K65="",G65="",J65=""),"",IF(E65="LONG",(K65-G65)*J65,(G65-K65)*J65))</f>
        <v/>
      </c>
      <c r="O65" s="99">
        <f>IF(OR(K65="",G65="",G65=0),"",IF(E65="LONG",(K65-G65)/G65,(G65-K65)/G65))</f>
        <v/>
      </c>
      <c r="P65" s="100">
        <f>IF(OR(N65="",H65="",G65="",ABS(G65-H65)=0),"",N65/(ABS(G65-H65)*J65))</f>
        <v/>
      </c>
      <c r="Q65" s="74">
        <f>IF(N65="","",IF(N65&gt;0,"WIN",IF(N65&lt;0,"LOSS","FLAT")))</f>
        <v/>
      </c>
      <c r="AC65" s="98">
        <f>IF(N65="","",N65-IF(Z65="",0,Z65))</f>
        <v/>
      </c>
    </row>
    <row r="66" ht="15" customHeight="1" s="75">
      <c r="A66" s="74">
        <f>IF(B66="","",ROW()-1)</f>
        <v/>
      </c>
      <c r="N66" s="98">
        <f>IF(OR(K66="",G66="",J66=""),"",IF(E66="LONG",(K66-G66)*J66,(G66-K66)*J66))</f>
        <v/>
      </c>
      <c r="O66" s="99">
        <f>IF(OR(K66="",G66="",G66=0),"",IF(E66="LONG",(K66-G66)/G66,(G66-K66)/G66))</f>
        <v/>
      </c>
      <c r="P66" s="100">
        <f>IF(OR(N66="",H66="",G66="",ABS(G66-H66)=0),"",N66/(ABS(G66-H66)*J66))</f>
        <v/>
      </c>
      <c r="Q66" s="74">
        <f>IF(N66="","",IF(N66&gt;0,"WIN",IF(N66&lt;0,"LOSS","FLAT")))</f>
        <v/>
      </c>
      <c r="AC66" s="98">
        <f>IF(N66="","",N66-IF(Z66="",0,Z66))</f>
        <v/>
      </c>
    </row>
    <row r="67" ht="15" customHeight="1" s="75">
      <c r="A67" s="74">
        <f>IF(B67="","",ROW()-1)</f>
        <v/>
      </c>
      <c r="N67" s="98">
        <f>IF(OR(K67="",G67="",J67=""),"",IF(E67="LONG",(K67-G67)*J67,(G67-K67)*J67))</f>
        <v/>
      </c>
      <c r="O67" s="99">
        <f>IF(OR(K67="",G67="",G67=0),"",IF(E67="LONG",(K67-G67)/G67,(G67-K67)/G67))</f>
        <v/>
      </c>
      <c r="P67" s="100">
        <f>IF(OR(N67="",H67="",G67="",ABS(G67-H67)=0),"",N67/(ABS(G67-H67)*J67))</f>
        <v/>
      </c>
      <c r="Q67" s="74">
        <f>IF(N67="","",IF(N67&gt;0,"WIN",IF(N67&lt;0,"LOSS","FLAT")))</f>
        <v/>
      </c>
      <c r="AC67" s="98">
        <f>IF(N67="","",N67-IF(Z67="",0,Z67))</f>
        <v/>
      </c>
    </row>
    <row r="68" ht="15" customHeight="1" s="75">
      <c r="A68" s="74">
        <f>IF(B68="","",ROW()-1)</f>
        <v/>
      </c>
      <c r="N68" s="98">
        <f>IF(OR(K68="",G68="",J68=""),"",IF(E68="LONG",(K68-G68)*J68,(G68-K68)*J68))</f>
        <v/>
      </c>
      <c r="O68" s="99">
        <f>IF(OR(K68="",G68="",G68=0),"",IF(E68="LONG",(K68-G68)/G68,(G68-K68)/G68))</f>
        <v/>
      </c>
      <c r="P68" s="100">
        <f>IF(OR(N68="",H68="",G68="",ABS(G68-H68)=0),"",N68/(ABS(G68-H68)*J68))</f>
        <v/>
      </c>
      <c r="Q68" s="74">
        <f>IF(N68="","",IF(N68&gt;0,"WIN",IF(N68&lt;0,"LOSS","FLAT")))</f>
        <v/>
      </c>
      <c r="AC68" s="98">
        <f>IF(N68="","",N68-IF(Z68="",0,Z68))</f>
        <v/>
      </c>
    </row>
    <row r="69" ht="15" customHeight="1" s="75">
      <c r="A69" s="74">
        <f>IF(B69="","",ROW()-1)</f>
        <v/>
      </c>
      <c r="N69" s="98">
        <f>IF(OR(K69="",G69="",J69=""),"",IF(E69="LONG",(K69-G69)*J69,(G69-K69)*J69))</f>
        <v/>
      </c>
      <c r="O69" s="99">
        <f>IF(OR(K69="",G69="",G69=0),"",IF(E69="LONG",(K69-G69)/G69,(G69-K69)/G69))</f>
        <v/>
      </c>
      <c r="P69" s="100">
        <f>IF(OR(N69="",H69="",G69="",ABS(G69-H69)=0),"",N69/(ABS(G69-H69)*J69))</f>
        <v/>
      </c>
      <c r="Q69" s="74">
        <f>IF(N69="","",IF(N69&gt;0,"WIN",IF(N69&lt;0,"LOSS","FLAT")))</f>
        <v/>
      </c>
      <c r="AC69" s="98">
        <f>IF(N69="","",N69-IF(Z69="",0,Z69))</f>
        <v/>
      </c>
    </row>
    <row r="70" ht="15" customHeight="1" s="75">
      <c r="A70" s="74">
        <f>IF(B70="","",ROW()-1)</f>
        <v/>
      </c>
      <c r="N70" s="98">
        <f>IF(OR(K70="",G70="",J70=""),"",IF(E70="LONG",(K70-G70)*J70,(G70-K70)*J70))</f>
        <v/>
      </c>
      <c r="O70" s="99">
        <f>IF(OR(K70="",G70="",G70=0),"",IF(E70="LONG",(K70-G70)/G70,(G70-K70)/G70))</f>
        <v/>
      </c>
      <c r="P70" s="100">
        <f>IF(OR(N70="",H70="",G70="",ABS(G70-H70)=0),"",N70/(ABS(G70-H70)*J70))</f>
        <v/>
      </c>
      <c r="Q70" s="74">
        <f>IF(N70="","",IF(N70&gt;0,"WIN",IF(N70&lt;0,"LOSS","FLAT")))</f>
        <v/>
      </c>
      <c r="AC70" s="98">
        <f>IF(N70="","",N70-IF(Z70="",0,Z70))</f>
        <v/>
      </c>
    </row>
    <row r="71" ht="15" customHeight="1" s="75">
      <c r="A71" s="74">
        <f>IF(B71="","",ROW()-1)</f>
        <v/>
      </c>
      <c r="N71" s="98">
        <f>IF(OR(K71="",G71="",J71=""),"",IF(E71="LONG",(K71-G71)*J71,(G71-K71)*J71))</f>
        <v/>
      </c>
      <c r="O71" s="99">
        <f>IF(OR(K71="",G71="",G71=0),"",IF(E71="LONG",(K71-G71)/G71,(G71-K71)/G71))</f>
        <v/>
      </c>
      <c r="P71" s="100">
        <f>IF(OR(N71="",H71="",G71="",ABS(G71-H71)=0),"",N71/(ABS(G71-H71)*J71))</f>
        <v/>
      </c>
      <c r="Q71" s="74">
        <f>IF(N71="","",IF(N71&gt;0,"WIN",IF(N71&lt;0,"LOSS","FLAT")))</f>
        <v/>
      </c>
      <c r="AC71" s="98">
        <f>IF(N71="","",N71-IF(Z71="",0,Z71))</f>
        <v/>
      </c>
    </row>
    <row r="72" ht="15" customHeight="1" s="75">
      <c r="A72" s="74">
        <f>IF(B72="","",ROW()-1)</f>
        <v/>
      </c>
      <c r="N72" s="98">
        <f>IF(OR(K72="",G72="",J72=""),"",IF(E72="LONG",(K72-G72)*J72,(G72-K72)*J72))</f>
        <v/>
      </c>
      <c r="O72" s="99">
        <f>IF(OR(K72="",G72="",G72=0),"",IF(E72="LONG",(K72-G72)/G72,(G72-K72)/G72))</f>
        <v/>
      </c>
      <c r="P72" s="100">
        <f>IF(OR(N72="",H72="",G72="",ABS(G72-H72)=0),"",N72/(ABS(G72-H72)*J72))</f>
        <v/>
      </c>
      <c r="Q72" s="74">
        <f>IF(N72="","",IF(N72&gt;0,"WIN",IF(N72&lt;0,"LOSS","FLAT")))</f>
        <v/>
      </c>
      <c r="AC72" s="98">
        <f>IF(N72="","",N72-IF(Z72="",0,Z72))</f>
        <v/>
      </c>
    </row>
    <row r="73" ht="15" customHeight="1" s="75">
      <c r="A73" s="74">
        <f>IF(B73="","",ROW()-1)</f>
        <v/>
      </c>
      <c r="N73" s="98">
        <f>IF(OR(K73="",G73="",J73=""),"",IF(E73="LONG",(K73-G73)*J73,(G73-K73)*J73))</f>
        <v/>
      </c>
      <c r="O73" s="99">
        <f>IF(OR(K73="",G73="",G73=0),"",IF(E73="LONG",(K73-G73)/G73,(G73-K73)/G73))</f>
        <v/>
      </c>
      <c r="P73" s="100">
        <f>IF(OR(N73="",H73="",G73="",ABS(G73-H73)=0),"",N73/(ABS(G73-H73)*J73))</f>
        <v/>
      </c>
      <c r="Q73" s="74">
        <f>IF(N73="","",IF(N73&gt;0,"WIN",IF(N73&lt;0,"LOSS","FLAT")))</f>
        <v/>
      </c>
      <c r="AC73" s="98">
        <f>IF(N73="","",N73-IF(Z73="",0,Z73))</f>
        <v/>
      </c>
    </row>
    <row r="74" ht="15" customHeight="1" s="75">
      <c r="A74" s="74">
        <f>IF(B74="","",ROW()-1)</f>
        <v/>
      </c>
      <c r="N74" s="98">
        <f>IF(OR(K74="",G74="",J74=""),"",IF(E74="LONG",(K74-G74)*J74,(G74-K74)*J74))</f>
        <v/>
      </c>
      <c r="O74" s="99">
        <f>IF(OR(K74="",G74="",G74=0),"",IF(E74="LONG",(K74-G74)/G74,(G74-K74)/G74))</f>
        <v/>
      </c>
      <c r="P74" s="100">
        <f>IF(OR(N74="",H74="",G74="",ABS(G74-H74)=0),"",N74/(ABS(G74-H74)*J74))</f>
        <v/>
      </c>
      <c r="Q74" s="74">
        <f>IF(N74="","",IF(N74&gt;0,"WIN",IF(N74&lt;0,"LOSS","FLAT")))</f>
        <v/>
      </c>
      <c r="AC74" s="98">
        <f>IF(N74="","",N74-IF(Z74="",0,Z74))</f>
        <v/>
      </c>
    </row>
    <row r="75" ht="15" customHeight="1" s="75">
      <c r="A75" s="74">
        <f>IF(B75="","",ROW()-1)</f>
        <v/>
      </c>
      <c r="N75" s="98">
        <f>IF(OR(K75="",G75="",J75=""),"",IF(E75="LONG",(K75-G75)*J75,(G75-K75)*J75))</f>
        <v/>
      </c>
      <c r="O75" s="99">
        <f>IF(OR(K75="",G75="",G75=0),"",IF(E75="LONG",(K75-G75)/G75,(G75-K75)/G75))</f>
        <v/>
      </c>
      <c r="P75" s="100">
        <f>IF(OR(N75="",H75="",G75="",ABS(G75-H75)=0),"",N75/(ABS(G75-H75)*J75))</f>
        <v/>
      </c>
      <c r="Q75" s="74">
        <f>IF(N75="","",IF(N75&gt;0,"WIN",IF(N75&lt;0,"LOSS","FLAT")))</f>
        <v/>
      </c>
      <c r="AC75" s="98">
        <f>IF(N75="","",N75-IF(Z75="",0,Z75))</f>
        <v/>
      </c>
    </row>
    <row r="76" ht="15" customHeight="1" s="75">
      <c r="A76" s="74">
        <f>IF(B76="","",ROW()-1)</f>
        <v/>
      </c>
      <c r="N76" s="98">
        <f>IF(OR(K76="",G76="",J76=""),"",IF(E76="LONG",(K76-G76)*J76,(G76-K76)*J76))</f>
        <v/>
      </c>
      <c r="O76" s="99">
        <f>IF(OR(K76="",G76="",G76=0),"",IF(E76="LONG",(K76-G76)/G76,(G76-K76)/G76))</f>
        <v/>
      </c>
      <c r="P76" s="100">
        <f>IF(OR(N76="",H76="",G76="",ABS(G76-H76)=0),"",N76/(ABS(G76-H76)*J76))</f>
        <v/>
      </c>
      <c r="Q76" s="74">
        <f>IF(N76="","",IF(N76&gt;0,"WIN",IF(N76&lt;0,"LOSS","FLAT")))</f>
        <v/>
      </c>
      <c r="AC76" s="98">
        <f>IF(N76="","",N76-IF(Z76="",0,Z76))</f>
        <v/>
      </c>
    </row>
    <row r="77" ht="15" customHeight="1" s="75">
      <c r="A77" s="74">
        <f>IF(B77="","",ROW()-1)</f>
        <v/>
      </c>
      <c r="N77" s="98">
        <f>IF(OR(K77="",G77="",J77=""),"",IF(E77="LONG",(K77-G77)*J77,(G77-K77)*J77))</f>
        <v/>
      </c>
      <c r="O77" s="99">
        <f>IF(OR(K77="",G77="",G77=0),"",IF(E77="LONG",(K77-G77)/G77,(G77-K77)/G77))</f>
        <v/>
      </c>
      <c r="P77" s="100">
        <f>IF(OR(N77="",H77="",G77="",ABS(G77-H77)=0),"",N77/(ABS(G77-H77)*J77))</f>
        <v/>
      </c>
      <c r="Q77" s="74">
        <f>IF(N77="","",IF(N77&gt;0,"WIN",IF(N77&lt;0,"LOSS","FLAT")))</f>
        <v/>
      </c>
      <c r="AC77" s="98">
        <f>IF(N77="","",N77-IF(Z77="",0,Z77))</f>
        <v/>
      </c>
    </row>
    <row r="78" ht="15" customHeight="1" s="75">
      <c r="A78" s="74">
        <f>IF(B78="","",ROW()-1)</f>
        <v/>
      </c>
      <c r="N78" s="98">
        <f>IF(OR(K78="",G78="",J78=""),"",IF(E78="LONG",(K78-G78)*J78,(G78-K78)*J78))</f>
        <v/>
      </c>
      <c r="O78" s="99">
        <f>IF(OR(K78="",G78="",G78=0),"",IF(E78="LONG",(K78-G78)/G78,(G78-K78)/G78))</f>
        <v/>
      </c>
      <c r="P78" s="100">
        <f>IF(OR(N78="",H78="",G78="",ABS(G78-H78)=0),"",N78/(ABS(G78-H78)*J78))</f>
        <v/>
      </c>
      <c r="Q78" s="74">
        <f>IF(N78="","",IF(N78&gt;0,"WIN",IF(N78&lt;0,"LOSS","FLAT")))</f>
        <v/>
      </c>
      <c r="AC78" s="98">
        <f>IF(N78="","",N78-IF(Z78="",0,Z78))</f>
        <v/>
      </c>
    </row>
    <row r="79" ht="15" customHeight="1" s="75">
      <c r="A79" s="74">
        <f>IF(B79="","",ROW()-1)</f>
        <v/>
      </c>
      <c r="N79" s="98">
        <f>IF(OR(K79="",G79="",J79=""),"",IF(E79="LONG",(K79-G79)*J79,(G79-K79)*J79))</f>
        <v/>
      </c>
      <c r="O79" s="99">
        <f>IF(OR(K79="",G79="",G79=0),"",IF(E79="LONG",(K79-G79)/G79,(G79-K79)/G79))</f>
        <v/>
      </c>
      <c r="P79" s="100">
        <f>IF(OR(N79="",H79="",G79="",ABS(G79-H79)=0),"",N79/(ABS(G79-H79)*J79))</f>
        <v/>
      </c>
      <c r="Q79" s="74">
        <f>IF(N79="","",IF(N79&gt;0,"WIN",IF(N79&lt;0,"LOSS","FLAT")))</f>
        <v/>
      </c>
      <c r="AC79" s="98">
        <f>IF(N79="","",N79-IF(Z79="",0,Z79))</f>
        <v/>
      </c>
    </row>
    <row r="80" ht="15" customHeight="1" s="75">
      <c r="A80" s="74">
        <f>IF(B80="","",ROW()-1)</f>
        <v/>
      </c>
      <c r="N80" s="98">
        <f>IF(OR(K80="",G80="",J80=""),"",IF(E80="LONG",(K80-G80)*J80,(G80-K80)*J80))</f>
        <v/>
      </c>
      <c r="O80" s="99">
        <f>IF(OR(K80="",G80="",G80=0),"",IF(E80="LONG",(K80-G80)/G80,(G80-K80)/G80))</f>
        <v/>
      </c>
      <c r="P80" s="100">
        <f>IF(OR(N80="",H80="",G80="",ABS(G80-H80)=0),"",N80/(ABS(G80-H80)*J80))</f>
        <v/>
      </c>
      <c r="Q80" s="74">
        <f>IF(N80="","",IF(N80&gt;0,"WIN",IF(N80&lt;0,"LOSS","FLAT")))</f>
        <v/>
      </c>
      <c r="AC80" s="98">
        <f>IF(N80="","",N80-IF(Z80="",0,Z80))</f>
        <v/>
      </c>
    </row>
    <row r="81" ht="15" customHeight="1" s="75">
      <c r="A81" s="74">
        <f>IF(B81="","",ROW()-1)</f>
        <v/>
      </c>
      <c r="N81" s="98">
        <f>IF(OR(K81="",G81="",J81=""),"",IF(E81="LONG",(K81-G81)*J81,(G81-K81)*J81))</f>
        <v/>
      </c>
      <c r="O81" s="99">
        <f>IF(OR(K81="",G81="",G81=0),"",IF(E81="LONG",(K81-G81)/G81,(G81-K81)/G81))</f>
        <v/>
      </c>
      <c r="P81" s="100">
        <f>IF(OR(N81="",H81="",G81="",ABS(G81-H81)=0),"",N81/(ABS(G81-H81)*J81))</f>
        <v/>
      </c>
      <c r="Q81" s="74">
        <f>IF(N81="","",IF(N81&gt;0,"WIN",IF(N81&lt;0,"LOSS","FLAT")))</f>
        <v/>
      </c>
      <c r="AC81" s="98">
        <f>IF(N81="","",N81-IF(Z81="",0,Z81))</f>
        <v/>
      </c>
    </row>
    <row r="82" ht="15" customHeight="1" s="75">
      <c r="A82" s="74">
        <f>IF(B82="","",ROW()-1)</f>
        <v/>
      </c>
      <c r="N82" s="98">
        <f>IF(OR(K82="",G82="",J82=""),"",IF(E82="LONG",(K82-G82)*J82,(G82-K82)*J82))</f>
        <v/>
      </c>
      <c r="O82" s="99">
        <f>IF(OR(K82="",G82="",G82=0),"",IF(E82="LONG",(K82-G82)/G82,(G82-K82)/G82))</f>
        <v/>
      </c>
      <c r="P82" s="100">
        <f>IF(OR(N82="",H82="",G82="",ABS(G82-H82)=0),"",N82/(ABS(G82-H82)*J82))</f>
        <v/>
      </c>
      <c r="Q82" s="74">
        <f>IF(N82="","",IF(N82&gt;0,"WIN",IF(N82&lt;0,"LOSS","FLAT")))</f>
        <v/>
      </c>
      <c r="AC82" s="98">
        <f>IF(N82="","",N82-IF(Z82="",0,Z82))</f>
        <v/>
      </c>
    </row>
    <row r="83" ht="15" customHeight="1" s="75">
      <c r="A83" s="74">
        <f>IF(B83="","",ROW()-1)</f>
        <v/>
      </c>
      <c r="N83" s="98">
        <f>IF(OR(K83="",G83="",J83=""),"",IF(E83="LONG",(K83-G83)*J83,(G83-K83)*J83))</f>
        <v/>
      </c>
      <c r="O83" s="99">
        <f>IF(OR(K83="",G83="",G83=0),"",IF(E83="LONG",(K83-G83)/G83,(G83-K83)/G83))</f>
        <v/>
      </c>
      <c r="P83" s="100">
        <f>IF(OR(N83="",H83="",G83="",ABS(G83-H83)=0),"",N83/(ABS(G83-H83)*J83))</f>
        <v/>
      </c>
      <c r="Q83" s="74">
        <f>IF(N83="","",IF(N83&gt;0,"WIN",IF(N83&lt;0,"LOSS","FLAT")))</f>
        <v/>
      </c>
      <c r="AC83" s="98">
        <f>IF(N83="","",N83-IF(Z83="",0,Z83))</f>
        <v/>
      </c>
    </row>
    <row r="84" ht="15" customHeight="1" s="75">
      <c r="A84" s="74">
        <f>IF(B84="","",ROW()-1)</f>
        <v/>
      </c>
      <c r="N84" s="98">
        <f>IF(OR(K84="",G84="",J84=""),"",IF(E84="LONG",(K84-G84)*J84,(G84-K84)*J84))</f>
        <v/>
      </c>
      <c r="O84" s="99">
        <f>IF(OR(K84="",G84="",G84=0),"",IF(E84="LONG",(K84-G84)/G84,(G84-K84)/G84))</f>
        <v/>
      </c>
      <c r="P84" s="100">
        <f>IF(OR(N84="",H84="",G84="",ABS(G84-H84)=0),"",N84/(ABS(G84-H84)*J84))</f>
        <v/>
      </c>
      <c r="Q84" s="74">
        <f>IF(N84="","",IF(N84&gt;0,"WIN",IF(N84&lt;0,"LOSS","FLAT")))</f>
        <v/>
      </c>
      <c r="AC84" s="98">
        <f>IF(N84="","",N84-IF(Z84="",0,Z84))</f>
        <v/>
      </c>
    </row>
    <row r="85" ht="15" customHeight="1" s="75">
      <c r="A85" s="74">
        <f>IF(B85="","",ROW()-1)</f>
        <v/>
      </c>
      <c r="N85" s="98">
        <f>IF(OR(K85="",G85="",J85=""),"",IF(E85="LONG",(K85-G85)*J85,(G85-K85)*J85))</f>
        <v/>
      </c>
      <c r="O85" s="99">
        <f>IF(OR(K85="",G85="",G85=0),"",IF(E85="LONG",(K85-G85)/G85,(G85-K85)/G85))</f>
        <v/>
      </c>
      <c r="P85" s="100">
        <f>IF(OR(N85="",H85="",G85="",ABS(G85-H85)=0),"",N85/(ABS(G85-H85)*J85))</f>
        <v/>
      </c>
      <c r="Q85" s="74">
        <f>IF(N85="","",IF(N85&gt;0,"WIN",IF(N85&lt;0,"LOSS","FLAT")))</f>
        <v/>
      </c>
      <c r="AC85" s="98">
        <f>IF(N85="","",N85-IF(Z85="",0,Z85))</f>
        <v/>
      </c>
    </row>
    <row r="86" ht="15" customHeight="1" s="75">
      <c r="A86" s="74">
        <f>IF(B86="","",ROW()-1)</f>
        <v/>
      </c>
      <c r="N86" s="98">
        <f>IF(OR(K86="",G86="",J86=""),"",IF(E86="LONG",(K86-G86)*J86,(G86-K86)*J86))</f>
        <v/>
      </c>
      <c r="O86" s="99">
        <f>IF(OR(K86="",G86="",G86=0),"",IF(E86="LONG",(K86-G86)/G86,(G86-K86)/G86))</f>
        <v/>
      </c>
      <c r="P86" s="100">
        <f>IF(OR(N86="",H86="",G86="",ABS(G86-H86)=0),"",N86/(ABS(G86-H86)*J86))</f>
        <v/>
      </c>
      <c r="Q86" s="74">
        <f>IF(N86="","",IF(N86&gt;0,"WIN",IF(N86&lt;0,"LOSS","FLAT")))</f>
        <v/>
      </c>
      <c r="AC86" s="98">
        <f>IF(N86="","",N86-IF(Z86="",0,Z86))</f>
        <v/>
      </c>
    </row>
    <row r="87" ht="15" customHeight="1" s="75">
      <c r="A87" s="74">
        <f>IF(B87="","",ROW()-1)</f>
        <v/>
      </c>
      <c r="N87" s="98">
        <f>IF(OR(K87="",G87="",J87=""),"",IF(E87="LONG",(K87-G87)*J87,(G87-K87)*J87))</f>
        <v/>
      </c>
      <c r="O87" s="99">
        <f>IF(OR(K87="",G87="",G87=0),"",IF(E87="LONG",(K87-G87)/G87,(G87-K87)/G87))</f>
        <v/>
      </c>
      <c r="P87" s="100">
        <f>IF(OR(N87="",H87="",G87="",ABS(G87-H87)=0),"",N87/(ABS(G87-H87)*J87))</f>
        <v/>
      </c>
      <c r="Q87" s="74">
        <f>IF(N87="","",IF(N87&gt;0,"WIN",IF(N87&lt;0,"LOSS","FLAT")))</f>
        <v/>
      </c>
      <c r="AC87" s="98">
        <f>IF(N87="","",N87-IF(Z87="",0,Z87))</f>
        <v/>
      </c>
    </row>
    <row r="88" ht="15" customHeight="1" s="75">
      <c r="A88" s="74">
        <f>IF(B88="","",ROW()-1)</f>
        <v/>
      </c>
      <c r="N88" s="98">
        <f>IF(OR(K88="",G88="",J88=""),"",IF(E88="LONG",(K88-G88)*J88,(G88-K88)*J88))</f>
        <v/>
      </c>
      <c r="O88" s="99">
        <f>IF(OR(K88="",G88="",G88=0),"",IF(E88="LONG",(K88-G88)/G88,(G88-K88)/G88))</f>
        <v/>
      </c>
      <c r="P88" s="100">
        <f>IF(OR(N88="",H88="",G88="",ABS(G88-H88)=0),"",N88/(ABS(G88-H88)*J88))</f>
        <v/>
      </c>
      <c r="Q88" s="74">
        <f>IF(N88="","",IF(N88&gt;0,"WIN",IF(N88&lt;0,"LOSS","FLAT")))</f>
        <v/>
      </c>
      <c r="AC88" s="98">
        <f>IF(N88="","",N88-IF(Z88="",0,Z88))</f>
        <v/>
      </c>
    </row>
    <row r="89" ht="15" customHeight="1" s="75">
      <c r="A89" s="74">
        <f>IF(B89="","",ROW()-1)</f>
        <v/>
      </c>
      <c r="N89" s="98">
        <f>IF(OR(K89="",G89="",J89=""),"",IF(E89="LONG",(K89-G89)*J89,(G89-K89)*J89))</f>
        <v/>
      </c>
      <c r="O89" s="99">
        <f>IF(OR(K89="",G89="",G89=0),"",IF(E89="LONG",(K89-G89)/G89,(G89-K89)/G89))</f>
        <v/>
      </c>
      <c r="P89" s="100">
        <f>IF(OR(N89="",H89="",G89="",ABS(G89-H89)=0),"",N89/(ABS(G89-H89)*J89))</f>
        <v/>
      </c>
      <c r="Q89" s="74">
        <f>IF(N89="","",IF(N89&gt;0,"WIN",IF(N89&lt;0,"LOSS","FLAT")))</f>
        <v/>
      </c>
      <c r="AC89" s="98">
        <f>IF(N89="","",N89-IF(Z89="",0,Z89))</f>
        <v/>
      </c>
    </row>
    <row r="90" ht="15" customHeight="1" s="75">
      <c r="A90" s="74">
        <f>IF(B90="","",ROW()-1)</f>
        <v/>
      </c>
      <c r="N90" s="98">
        <f>IF(OR(K90="",G90="",J90=""),"",IF(E90="LONG",(K90-G90)*J90,(G90-K90)*J90))</f>
        <v/>
      </c>
      <c r="O90" s="99">
        <f>IF(OR(K90="",G90="",G90=0),"",IF(E90="LONG",(K90-G90)/G90,(G90-K90)/G90))</f>
        <v/>
      </c>
      <c r="P90" s="100">
        <f>IF(OR(N90="",H90="",G90="",ABS(G90-H90)=0),"",N90/(ABS(G90-H90)*J90))</f>
        <v/>
      </c>
      <c r="Q90" s="74">
        <f>IF(N90="","",IF(N90&gt;0,"WIN",IF(N90&lt;0,"LOSS","FLAT")))</f>
        <v/>
      </c>
      <c r="AC90" s="98">
        <f>IF(N90="","",N90-IF(Z90="",0,Z90))</f>
        <v/>
      </c>
    </row>
    <row r="91" ht="15" customHeight="1" s="75">
      <c r="A91" s="74">
        <f>IF(B91="","",ROW()-1)</f>
        <v/>
      </c>
      <c r="N91" s="98">
        <f>IF(OR(K91="",G91="",J91=""),"",IF(E91="LONG",(K91-G91)*J91,(G91-K91)*J91))</f>
        <v/>
      </c>
      <c r="O91" s="99">
        <f>IF(OR(K91="",G91="",G91=0),"",IF(E91="LONG",(K91-G91)/G91,(G91-K91)/G91))</f>
        <v/>
      </c>
      <c r="P91" s="100">
        <f>IF(OR(N91="",H91="",G91="",ABS(G91-H91)=0),"",N91/(ABS(G91-H91)*J91))</f>
        <v/>
      </c>
      <c r="Q91" s="74">
        <f>IF(N91="","",IF(N91&gt;0,"WIN",IF(N91&lt;0,"LOSS","FLAT")))</f>
        <v/>
      </c>
      <c r="AC91" s="98">
        <f>IF(N91="","",N91-IF(Z91="",0,Z91))</f>
        <v/>
      </c>
    </row>
    <row r="92" ht="15" customHeight="1" s="75">
      <c r="A92" s="74">
        <f>IF(B92="","",ROW()-1)</f>
        <v/>
      </c>
      <c r="N92" s="98">
        <f>IF(OR(K92="",G92="",J92=""),"",IF(E92="LONG",(K92-G92)*J92,(G92-K92)*J92))</f>
        <v/>
      </c>
      <c r="O92" s="99">
        <f>IF(OR(K92="",G92="",G92=0),"",IF(E92="LONG",(K92-G92)/G92,(G92-K92)/G92))</f>
        <v/>
      </c>
      <c r="P92" s="100">
        <f>IF(OR(N92="",H92="",G92="",ABS(G92-H92)=0),"",N92/(ABS(G92-H92)*J92))</f>
        <v/>
      </c>
      <c r="Q92" s="74">
        <f>IF(N92="","",IF(N92&gt;0,"WIN",IF(N92&lt;0,"LOSS","FLAT")))</f>
        <v/>
      </c>
      <c r="AC92" s="98">
        <f>IF(N92="","",N92-IF(Z92="",0,Z92))</f>
        <v/>
      </c>
    </row>
    <row r="93" ht="15" customHeight="1" s="75">
      <c r="A93" s="74">
        <f>IF(B93="","",ROW()-1)</f>
        <v/>
      </c>
      <c r="N93" s="98">
        <f>IF(OR(K93="",G93="",J93=""),"",IF(E93="LONG",(K93-G93)*J93,(G93-K93)*J93))</f>
        <v/>
      </c>
      <c r="O93" s="99">
        <f>IF(OR(K93="",G93="",G93=0),"",IF(E93="LONG",(K93-G93)/G93,(G93-K93)/G93))</f>
        <v/>
      </c>
      <c r="P93" s="100">
        <f>IF(OR(N93="",H93="",G93="",ABS(G93-H93)=0),"",N93/(ABS(G93-H93)*J93))</f>
        <v/>
      </c>
      <c r="Q93" s="74">
        <f>IF(N93="","",IF(N93&gt;0,"WIN",IF(N93&lt;0,"LOSS","FLAT")))</f>
        <v/>
      </c>
      <c r="AC93" s="98">
        <f>IF(N93="","",N93-IF(Z93="",0,Z93))</f>
        <v/>
      </c>
    </row>
    <row r="94" ht="15" customHeight="1" s="75">
      <c r="A94" s="74">
        <f>IF(B94="","",ROW()-1)</f>
        <v/>
      </c>
      <c r="N94" s="98">
        <f>IF(OR(K94="",G94="",J94=""),"",IF(E94="LONG",(K94-G94)*J94,(G94-K94)*J94))</f>
        <v/>
      </c>
      <c r="O94" s="99">
        <f>IF(OR(K94="",G94="",G94=0),"",IF(E94="LONG",(K94-G94)/G94,(G94-K94)/G94))</f>
        <v/>
      </c>
      <c r="P94" s="100">
        <f>IF(OR(N94="",H94="",G94="",ABS(G94-H94)=0),"",N94/(ABS(G94-H94)*J94))</f>
        <v/>
      </c>
      <c r="Q94" s="74">
        <f>IF(N94="","",IF(N94&gt;0,"WIN",IF(N94&lt;0,"LOSS","FLAT")))</f>
        <v/>
      </c>
      <c r="AC94" s="98">
        <f>IF(N94="","",N94-IF(Z94="",0,Z94))</f>
        <v/>
      </c>
    </row>
    <row r="95" ht="15" customHeight="1" s="75">
      <c r="A95" s="74">
        <f>IF(B95="","",ROW()-1)</f>
        <v/>
      </c>
      <c r="N95" s="98">
        <f>IF(OR(K95="",G95="",J95=""),"",IF(E95="LONG",(K95-G95)*J95,(G95-K95)*J95))</f>
        <v/>
      </c>
      <c r="O95" s="99">
        <f>IF(OR(K95="",G95="",G95=0),"",IF(E95="LONG",(K95-G95)/G95,(G95-K95)/G95))</f>
        <v/>
      </c>
      <c r="P95" s="100">
        <f>IF(OR(N95="",H95="",G95="",ABS(G95-H95)=0),"",N95/(ABS(G95-H95)*J95))</f>
        <v/>
      </c>
      <c r="Q95" s="74">
        <f>IF(N95="","",IF(N95&gt;0,"WIN",IF(N95&lt;0,"LOSS","FLAT")))</f>
        <v/>
      </c>
      <c r="AC95" s="98">
        <f>IF(N95="","",N95-IF(Z95="",0,Z95))</f>
        <v/>
      </c>
    </row>
    <row r="96" ht="15" customHeight="1" s="75">
      <c r="A96" s="74">
        <f>IF(B96="","",ROW()-1)</f>
        <v/>
      </c>
      <c r="N96" s="98">
        <f>IF(OR(K96="",G96="",J96=""),"",IF(E96="LONG",(K96-G96)*J96,(G96-K96)*J96))</f>
        <v/>
      </c>
      <c r="O96" s="99">
        <f>IF(OR(K96="",G96="",G96=0),"",IF(E96="LONG",(K96-G96)/G96,(G96-K96)/G96))</f>
        <v/>
      </c>
      <c r="P96" s="100">
        <f>IF(OR(N96="",H96="",G96="",ABS(G96-H96)=0),"",N96/(ABS(G96-H96)*J96))</f>
        <v/>
      </c>
      <c r="Q96" s="74">
        <f>IF(N96="","",IF(N96&gt;0,"WIN",IF(N96&lt;0,"LOSS","FLAT")))</f>
        <v/>
      </c>
      <c r="AC96" s="98">
        <f>IF(N96="","",N96-IF(Z96="",0,Z96))</f>
        <v/>
      </c>
    </row>
    <row r="97" ht="15" customHeight="1" s="75">
      <c r="A97" s="74">
        <f>IF(B97="","",ROW()-1)</f>
        <v/>
      </c>
      <c r="N97" s="98">
        <f>IF(OR(K97="",G97="",J97=""),"",IF(E97="LONG",(K97-G97)*J97,(G97-K97)*J97))</f>
        <v/>
      </c>
      <c r="O97" s="99">
        <f>IF(OR(K97="",G97="",G97=0),"",IF(E97="LONG",(K97-G97)/G97,(G97-K97)/G97))</f>
        <v/>
      </c>
      <c r="P97" s="100">
        <f>IF(OR(N97="",H97="",G97="",ABS(G97-H97)=0),"",N97/(ABS(G97-H97)*J97))</f>
        <v/>
      </c>
      <c r="Q97" s="74">
        <f>IF(N97="","",IF(N97&gt;0,"WIN",IF(N97&lt;0,"LOSS","FLAT")))</f>
        <v/>
      </c>
      <c r="AC97" s="98">
        <f>IF(N97="","",N97-IF(Z97="",0,Z97))</f>
        <v/>
      </c>
    </row>
    <row r="98" ht="15" customHeight="1" s="75">
      <c r="A98" s="74">
        <f>IF(B98="","",ROW()-1)</f>
        <v/>
      </c>
      <c r="N98" s="98">
        <f>IF(OR(K98="",G98="",J98=""),"",IF(E98="LONG",(K98-G98)*J98,(G98-K98)*J98))</f>
        <v/>
      </c>
      <c r="O98" s="99">
        <f>IF(OR(K98="",G98="",G98=0),"",IF(E98="LONG",(K98-G98)/G98,(G98-K98)/G98))</f>
        <v/>
      </c>
      <c r="P98" s="100">
        <f>IF(OR(N98="",H98="",G98="",ABS(G98-H98)=0),"",N98/(ABS(G98-H98)*J98))</f>
        <v/>
      </c>
      <c r="Q98" s="74">
        <f>IF(N98="","",IF(N98&gt;0,"WIN",IF(N98&lt;0,"LOSS","FLAT")))</f>
        <v/>
      </c>
      <c r="AC98" s="98">
        <f>IF(N98="","",N98-IF(Z98="",0,Z98))</f>
        <v/>
      </c>
    </row>
    <row r="99" ht="15" customHeight="1" s="75">
      <c r="A99" s="74">
        <f>IF(B99="","",ROW()-1)</f>
        <v/>
      </c>
      <c r="N99" s="98">
        <f>IF(OR(K99="",G99="",J99=""),"",IF(E99="LONG",(K99-G99)*J99,(G99-K99)*J99))</f>
        <v/>
      </c>
      <c r="O99" s="99">
        <f>IF(OR(K99="",G99="",G99=0),"",IF(E99="LONG",(K99-G99)/G99,(G99-K99)/G99))</f>
        <v/>
      </c>
      <c r="P99" s="100">
        <f>IF(OR(N99="",H99="",G99="",ABS(G99-H99)=0),"",N99/(ABS(G99-H99)*J99))</f>
        <v/>
      </c>
      <c r="Q99" s="74">
        <f>IF(N99="","",IF(N99&gt;0,"WIN",IF(N99&lt;0,"LOSS","FLAT")))</f>
        <v/>
      </c>
      <c r="AC99" s="98">
        <f>IF(N99="","",N99-IF(Z99="",0,Z99))</f>
        <v/>
      </c>
    </row>
    <row r="100" ht="15" customHeight="1" s="75">
      <c r="A100" s="74">
        <f>IF(B100="","",ROW()-1)</f>
        <v/>
      </c>
      <c r="N100" s="98">
        <f>IF(OR(K100="",G100="",J100=""),"",IF(E100="LONG",(K100-G100)*J100,(G100-K100)*J100))</f>
        <v/>
      </c>
      <c r="O100" s="99">
        <f>IF(OR(K100="",G100="",G100=0),"",IF(E100="LONG",(K100-G100)/G100,(G100-K100)/G100))</f>
        <v/>
      </c>
      <c r="P100" s="100">
        <f>IF(OR(N100="",H100="",G100="",ABS(G100-H100)=0),"",N100/(ABS(G100-H100)*J100))</f>
        <v/>
      </c>
      <c r="Q100" s="74">
        <f>IF(N100="","",IF(N100&gt;0,"WIN",IF(N100&lt;0,"LOSS","FLAT")))</f>
        <v/>
      </c>
      <c r="AC100" s="98">
        <f>IF(N100="","",N100-IF(Z100="",0,Z100))</f>
        <v/>
      </c>
    </row>
    <row r="101" ht="15" customHeight="1" s="75">
      <c r="A101" s="74">
        <f>IF(B101="","",ROW()-1)</f>
        <v/>
      </c>
      <c r="N101" s="98">
        <f>IF(OR(K101="",G101="",J101=""),"",IF(E101="LONG",(K101-G101)*J101,(G101-K101)*J101))</f>
        <v/>
      </c>
      <c r="O101" s="99">
        <f>IF(OR(K101="",G101="",G101=0),"",IF(E101="LONG",(K101-G101)/G101,(G101-K101)/G101))</f>
        <v/>
      </c>
      <c r="P101" s="100">
        <f>IF(OR(N101="",H101="",G101="",ABS(G101-H101)=0),"",N101/(ABS(G101-H101)*J101))</f>
        <v/>
      </c>
      <c r="Q101" s="74">
        <f>IF(N101="","",IF(N101&gt;0,"WIN",IF(N101&lt;0,"LOSS","FLAT")))</f>
        <v/>
      </c>
      <c r="AC101" s="98">
        <f>IF(N101="","",N101-IF(Z101="",0,Z101))</f>
        <v/>
      </c>
    </row>
    <row r="102" ht="15" customHeight="1" s="75">
      <c r="A102" s="74">
        <f>IF(B102="","",ROW()-1)</f>
        <v/>
      </c>
      <c r="N102" s="98">
        <f>IF(OR(K102="",G102="",J102=""),"",IF(E102="LONG",(K102-G102)*J102,(G102-K102)*J102))</f>
        <v/>
      </c>
      <c r="O102" s="99">
        <f>IF(OR(K102="",G102="",G102=0),"",IF(E102="LONG",(K102-G102)/G102,(G102-K102)/G102))</f>
        <v/>
      </c>
      <c r="P102" s="100">
        <f>IF(OR(N102="",H102="",G102="",ABS(G102-H102)=0),"",N102/(ABS(G102-H102)*J102))</f>
        <v/>
      </c>
      <c r="Q102" s="74">
        <f>IF(N102="","",IF(N102&gt;0,"WIN",IF(N102&lt;0,"LOSS","FLAT")))</f>
        <v/>
      </c>
      <c r="AC102" s="98">
        <f>IF(N102="","",N102-IF(Z102="",0,Z102))</f>
        <v/>
      </c>
    </row>
    <row r="103" ht="15" customHeight="1" s="75">
      <c r="A103" s="74">
        <f>IF(B103="","",ROW()-1)</f>
        <v/>
      </c>
      <c r="N103" s="98">
        <f>IF(OR(K103="",G103="",J103=""),"",IF(E103="LONG",(K103-G103)*J103,(G103-K103)*J103))</f>
        <v/>
      </c>
      <c r="O103" s="99">
        <f>IF(OR(K103="",G103="",G103=0),"",IF(E103="LONG",(K103-G103)/G103,(G103-K103)/G103))</f>
        <v/>
      </c>
      <c r="P103" s="100">
        <f>IF(OR(N103="",H103="",G103="",ABS(G103-H103)=0),"",N103/(ABS(G103-H103)*J103))</f>
        <v/>
      </c>
      <c r="Q103" s="74">
        <f>IF(N103="","",IF(N103&gt;0,"WIN",IF(N103&lt;0,"LOSS","FLAT")))</f>
        <v/>
      </c>
      <c r="AC103" s="98">
        <f>IF(N103="","",N103-IF(Z103="",0,Z103))</f>
        <v/>
      </c>
    </row>
    <row r="104" ht="15" customHeight="1" s="75">
      <c r="A104" s="74">
        <f>IF(B104="","",ROW()-1)</f>
        <v/>
      </c>
      <c r="N104" s="98">
        <f>IF(OR(K104="",G104="",J104=""),"",IF(E104="LONG",(K104-G104)*J104,(G104-K104)*J104))</f>
        <v/>
      </c>
      <c r="O104" s="99">
        <f>IF(OR(K104="",G104="",G104=0),"",IF(E104="LONG",(K104-G104)/G104,(G104-K104)/G104))</f>
        <v/>
      </c>
      <c r="P104" s="100">
        <f>IF(OR(N104="",H104="",G104="",ABS(G104-H104)=0),"",N104/(ABS(G104-H104)*J104))</f>
        <v/>
      </c>
      <c r="Q104" s="74">
        <f>IF(N104="","",IF(N104&gt;0,"WIN",IF(N104&lt;0,"LOSS","FLAT")))</f>
        <v/>
      </c>
      <c r="AC104" s="98">
        <f>IF(N104="","",N104-IF(Z104="",0,Z104))</f>
        <v/>
      </c>
    </row>
    <row r="105" ht="15" customHeight="1" s="75">
      <c r="A105" s="74">
        <f>IF(B105="","",ROW()-1)</f>
        <v/>
      </c>
      <c r="N105" s="98">
        <f>IF(OR(K105="",G105="",J105=""),"",IF(E105="LONG",(K105-G105)*J105,(G105-K105)*J105))</f>
        <v/>
      </c>
      <c r="O105" s="99">
        <f>IF(OR(K105="",G105="",G105=0),"",IF(E105="LONG",(K105-G105)/G105,(G105-K105)/G105))</f>
        <v/>
      </c>
      <c r="P105" s="100">
        <f>IF(OR(N105="",H105="",G105="",ABS(G105-H105)=0),"",N105/(ABS(G105-H105)*J105))</f>
        <v/>
      </c>
      <c r="Q105" s="74">
        <f>IF(N105="","",IF(N105&gt;0,"WIN",IF(N105&lt;0,"LOSS","FLAT")))</f>
        <v/>
      </c>
      <c r="AC105" s="98">
        <f>IF(N105="","",N105-IF(Z105="",0,Z105))</f>
        <v/>
      </c>
    </row>
    <row r="106" ht="15" customHeight="1" s="75">
      <c r="A106" s="74">
        <f>IF(B106="","",ROW()-1)</f>
        <v/>
      </c>
      <c r="N106" s="98">
        <f>IF(OR(K106="",G106="",J106=""),"",IF(E106="LONG",(K106-G106)*J106,(G106-K106)*J106))</f>
        <v/>
      </c>
      <c r="O106" s="99">
        <f>IF(OR(K106="",G106="",G106=0),"",IF(E106="LONG",(K106-G106)/G106,(G106-K106)/G106))</f>
        <v/>
      </c>
      <c r="P106" s="100">
        <f>IF(OR(N106="",H106="",G106="",ABS(G106-H106)=0),"",N106/(ABS(G106-H106)*J106))</f>
        <v/>
      </c>
      <c r="Q106" s="74">
        <f>IF(N106="","",IF(N106&gt;0,"WIN",IF(N106&lt;0,"LOSS","FLAT")))</f>
        <v/>
      </c>
      <c r="AC106" s="98">
        <f>IF(N106="","",N106-IF(Z106="",0,Z106))</f>
        <v/>
      </c>
    </row>
    <row r="107" ht="15" customHeight="1" s="75">
      <c r="A107" s="74">
        <f>IF(B107="","",ROW()-1)</f>
        <v/>
      </c>
      <c r="N107" s="98">
        <f>IF(OR(K107="",G107="",J107=""),"",IF(E107="LONG",(K107-G107)*J107,(G107-K107)*J107))</f>
        <v/>
      </c>
      <c r="O107" s="99">
        <f>IF(OR(K107="",G107="",G107=0),"",IF(E107="LONG",(K107-G107)/G107,(G107-K107)/G107))</f>
        <v/>
      </c>
      <c r="P107" s="100">
        <f>IF(OR(N107="",H107="",G107="",ABS(G107-H107)=0),"",N107/(ABS(G107-H107)*J107))</f>
        <v/>
      </c>
      <c r="Q107" s="74">
        <f>IF(N107="","",IF(N107&gt;0,"WIN",IF(N107&lt;0,"LOSS","FLAT")))</f>
        <v/>
      </c>
      <c r="AC107" s="98">
        <f>IF(N107="","",N107-IF(Z107="",0,Z107))</f>
        <v/>
      </c>
    </row>
    <row r="108" ht="15" customHeight="1" s="75">
      <c r="A108" s="74">
        <f>IF(B108="","",ROW()-1)</f>
        <v/>
      </c>
      <c r="N108" s="98">
        <f>IF(OR(K108="",G108="",J108=""),"",IF(E108="LONG",(K108-G108)*J108,(G108-K108)*J108))</f>
        <v/>
      </c>
      <c r="O108" s="99">
        <f>IF(OR(K108="",G108="",G108=0),"",IF(E108="LONG",(K108-G108)/G108,(G108-K108)/G108))</f>
        <v/>
      </c>
      <c r="P108" s="100">
        <f>IF(OR(N108="",H108="",G108="",ABS(G108-H108)=0),"",N108/(ABS(G108-H108)*J108))</f>
        <v/>
      </c>
      <c r="Q108" s="74">
        <f>IF(N108="","",IF(N108&gt;0,"WIN",IF(N108&lt;0,"LOSS","FLAT")))</f>
        <v/>
      </c>
      <c r="AC108" s="98">
        <f>IF(N108="","",N108-IF(Z108="",0,Z108))</f>
        <v/>
      </c>
    </row>
    <row r="109" ht="15" customHeight="1" s="75">
      <c r="A109" s="74">
        <f>IF(B109="","",ROW()-1)</f>
        <v/>
      </c>
      <c r="N109" s="98">
        <f>IF(OR(K109="",G109="",J109=""),"",IF(E109="LONG",(K109-G109)*J109,(G109-K109)*J109))</f>
        <v/>
      </c>
      <c r="O109" s="99">
        <f>IF(OR(K109="",G109="",G109=0),"",IF(E109="LONG",(K109-G109)/G109,(G109-K109)/G109))</f>
        <v/>
      </c>
      <c r="P109" s="100">
        <f>IF(OR(N109="",H109="",G109="",ABS(G109-H109)=0),"",N109/(ABS(G109-H109)*J109))</f>
        <v/>
      </c>
      <c r="Q109" s="74">
        <f>IF(N109="","",IF(N109&gt;0,"WIN",IF(N109&lt;0,"LOSS","FLAT")))</f>
        <v/>
      </c>
      <c r="AC109" s="98">
        <f>IF(N109="","",N109-IF(Z109="",0,Z109))</f>
        <v/>
      </c>
    </row>
    <row r="110" ht="15" customHeight="1" s="75">
      <c r="A110" s="74">
        <f>IF(B110="","",ROW()-1)</f>
        <v/>
      </c>
      <c r="N110" s="98">
        <f>IF(OR(K110="",G110="",J110=""),"",IF(E110="LONG",(K110-G110)*J110,(G110-K110)*J110))</f>
        <v/>
      </c>
      <c r="O110" s="99">
        <f>IF(OR(K110="",G110="",G110=0),"",IF(E110="LONG",(K110-G110)/G110,(G110-K110)/G110))</f>
        <v/>
      </c>
      <c r="P110" s="100">
        <f>IF(OR(N110="",H110="",G110="",ABS(G110-H110)=0),"",N110/(ABS(G110-H110)*J110))</f>
        <v/>
      </c>
      <c r="Q110" s="74">
        <f>IF(N110="","",IF(N110&gt;0,"WIN",IF(N110&lt;0,"LOSS","FLAT")))</f>
        <v/>
      </c>
      <c r="AC110" s="98">
        <f>IF(N110="","",N110-IF(Z110="",0,Z110))</f>
        <v/>
      </c>
    </row>
    <row r="111" ht="15" customHeight="1" s="75">
      <c r="A111" s="74">
        <f>IF(B111="","",ROW()-1)</f>
        <v/>
      </c>
      <c r="N111" s="98">
        <f>IF(OR(K111="",G111="",J111=""),"",IF(E111="LONG",(K111-G111)*J111,(G111-K111)*J111))</f>
        <v/>
      </c>
      <c r="O111" s="99">
        <f>IF(OR(K111="",G111="",G111=0),"",IF(E111="LONG",(K111-G111)/G111,(G111-K111)/G111))</f>
        <v/>
      </c>
      <c r="P111" s="100">
        <f>IF(OR(N111="",H111="",G111="",ABS(G111-H111)=0),"",N111/(ABS(G111-H111)*J111))</f>
        <v/>
      </c>
      <c r="Q111" s="74">
        <f>IF(N111="","",IF(N111&gt;0,"WIN",IF(N111&lt;0,"LOSS","FLAT")))</f>
        <v/>
      </c>
      <c r="AC111" s="98">
        <f>IF(N111="","",N111-IF(Z111="",0,Z111))</f>
        <v/>
      </c>
    </row>
    <row r="112" ht="15" customHeight="1" s="75">
      <c r="A112" s="74">
        <f>IF(B112="","",ROW()-1)</f>
        <v/>
      </c>
      <c r="N112" s="98">
        <f>IF(OR(K112="",G112="",J112=""),"",IF(E112="LONG",(K112-G112)*J112,(G112-K112)*J112))</f>
        <v/>
      </c>
      <c r="O112" s="99">
        <f>IF(OR(K112="",G112="",G112=0),"",IF(E112="LONG",(K112-G112)/G112,(G112-K112)/G112))</f>
        <v/>
      </c>
      <c r="P112" s="100">
        <f>IF(OR(N112="",H112="",G112="",ABS(G112-H112)=0),"",N112/(ABS(G112-H112)*J112))</f>
        <v/>
      </c>
      <c r="Q112" s="74">
        <f>IF(N112="","",IF(N112&gt;0,"WIN",IF(N112&lt;0,"LOSS","FLAT")))</f>
        <v/>
      </c>
      <c r="AC112" s="98">
        <f>IF(N112="","",N112-IF(Z112="",0,Z112))</f>
        <v/>
      </c>
    </row>
    <row r="113" ht="15" customHeight="1" s="75">
      <c r="A113" s="74">
        <f>IF(B113="","",ROW()-1)</f>
        <v/>
      </c>
      <c r="N113" s="98">
        <f>IF(OR(K113="",G113="",J113=""),"",IF(E113="LONG",(K113-G113)*J113,(G113-K113)*J113))</f>
        <v/>
      </c>
      <c r="O113" s="99">
        <f>IF(OR(K113="",G113="",G113=0),"",IF(E113="LONG",(K113-G113)/G113,(G113-K113)/G113))</f>
        <v/>
      </c>
      <c r="P113" s="100">
        <f>IF(OR(N113="",H113="",G113="",ABS(G113-H113)=0),"",N113/(ABS(G113-H113)*J113))</f>
        <v/>
      </c>
      <c r="Q113" s="74">
        <f>IF(N113="","",IF(N113&gt;0,"WIN",IF(N113&lt;0,"LOSS","FLAT")))</f>
        <v/>
      </c>
      <c r="AC113" s="98">
        <f>IF(N113="","",N113-IF(Z113="",0,Z113))</f>
        <v/>
      </c>
    </row>
    <row r="114" ht="15" customHeight="1" s="75">
      <c r="A114" s="74">
        <f>IF(B114="","",ROW()-1)</f>
        <v/>
      </c>
      <c r="N114" s="98">
        <f>IF(OR(K114="",G114="",J114=""),"",IF(E114="LONG",(K114-G114)*J114,(G114-K114)*J114))</f>
        <v/>
      </c>
      <c r="O114" s="99">
        <f>IF(OR(K114="",G114="",G114=0),"",IF(E114="LONG",(K114-G114)/G114,(G114-K114)/G114))</f>
        <v/>
      </c>
      <c r="P114" s="100">
        <f>IF(OR(N114="",H114="",G114="",ABS(G114-H114)=0),"",N114/(ABS(G114-H114)*J114))</f>
        <v/>
      </c>
      <c r="Q114" s="74">
        <f>IF(N114="","",IF(N114&gt;0,"WIN",IF(N114&lt;0,"LOSS","FLAT")))</f>
        <v/>
      </c>
      <c r="AC114" s="98">
        <f>IF(N114="","",N114-IF(Z114="",0,Z114))</f>
        <v/>
      </c>
    </row>
    <row r="115" ht="15" customHeight="1" s="75">
      <c r="A115" s="74">
        <f>IF(B115="","",ROW()-1)</f>
        <v/>
      </c>
      <c r="N115" s="98">
        <f>IF(OR(K115="",G115="",J115=""),"",IF(E115="LONG",(K115-G115)*J115,(G115-K115)*J115))</f>
        <v/>
      </c>
      <c r="O115" s="99">
        <f>IF(OR(K115="",G115="",G115=0),"",IF(E115="LONG",(K115-G115)/G115,(G115-K115)/G115))</f>
        <v/>
      </c>
      <c r="P115" s="100">
        <f>IF(OR(N115="",H115="",G115="",ABS(G115-H115)=0),"",N115/(ABS(G115-H115)*J115))</f>
        <v/>
      </c>
      <c r="Q115" s="74">
        <f>IF(N115="","",IF(N115&gt;0,"WIN",IF(N115&lt;0,"LOSS","FLAT")))</f>
        <v/>
      </c>
      <c r="AC115" s="98">
        <f>IF(N115="","",N115-IF(Z115="",0,Z115))</f>
        <v/>
      </c>
    </row>
    <row r="116" ht="15" customHeight="1" s="75">
      <c r="A116" s="74">
        <f>IF(B116="","",ROW()-1)</f>
        <v/>
      </c>
      <c r="N116" s="98">
        <f>IF(OR(K116="",G116="",J116=""),"",IF(E116="LONG",(K116-G116)*J116,(G116-K116)*J116))</f>
        <v/>
      </c>
      <c r="O116" s="99">
        <f>IF(OR(K116="",G116="",G116=0),"",IF(E116="LONG",(K116-G116)/G116,(G116-K116)/G116))</f>
        <v/>
      </c>
      <c r="P116" s="100">
        <f>IF(OR(N116="",H116="",G116="",ABS(G116-H116)=0),"",N116/(ABS(G116-H116)*J116))</f>
        <v/>
      </c>
      <c r="Q116" s="74">
        <f>IF(N116="","",IF(N116&gt;0,"WIN",IF(N116&lt;0,"LOSS","FLAT")))</f>
        <v/>
      </c>
      <c r="AC116" s="98">
        <f>IF(N116="","",N116-IF(Z116="",0,Z116))</f>
        <v/>
      </c>
    </row>
    <row r="117" ht="15" customHeight="1" s="75">
      <c r="A117" s="74">
        <f>IF(B117="","",ROW()-1)</f>
        <v/>
      </c>
      <c r="N117" s="98">
        <f>IF(OR(K117="",G117="",J117=""),"",IF(E117="LONG",(K117-G117)*J117,(G117-K117)*J117))</f>
        <v/>
      </c>
      <c r="O117" s="99">
        <f>IF(OR(K117="",G117="",G117=0),"",IF(E117="LONG",(K117-G117)/G117,(G117-K117)/G117))</f>
        <v/>
      </c>
      <c r="P117" s="100">
        <f>IF(OR(N117="",H117="",G117="",ABS(G117-H117)=0),"",N117/(ABS(G117-H117)*J117))</f>
        <v/>
      </c>
      <c r="Q117" s="74">
        <f>IF(N117="","",IF(N117&gt;0,"WIN",IF(N117&lt;0,"LOSS","FLAT")))</f>
        <v/>
      </c>
      <c r="AC117" s="98">
        <f>IF(N117="","",N117-IF(Z117="",0,Z117))</f>
        <v/>
      </c>
    </row>
    <row r="118" ht="15" customHeight="1" s="75">
      <c r="A118" s="74">
        <f>IF(B118="","",ROW()-1)</f>
        <v/>
      </c>
      <c r="N118" s="98">
        <f>IF(OR(K118="",G118="",J118=""),"",IF(E118="LONG",(K118-G118)*J118,(G118-K118)*J118))</f>
        <v/>
      </c>
      <c r="O118" s="99">
        <f>IF(OR(K118="",G118="",G118=0),"",IF(E118="LONG",(K118-G118)/G118,(G118-K118)/G118))</f>
        <v/>
      </c>
      <c r="P118" s="100">
        <f>IF(OR(N118="",H118="",G118="",ABS(G118-H118)=0),"",N118/(ABS(G118-H118)*J118))</f>
        <v/>
      </c>
      <c r="Q118" s="74">
        <f>IF(N118="","",IF(N118&gt;0,"WIN",IF(N118&lt;0,"LOSS","FLAT")))</f>
        <v/>
      </c>
      <c r="AC118" s="98">
        <f>IF(N118="","",N118-IF(Z118="",0,Z118))</f>
        <v/>
      </c>
    </row>
    <row r="119" ht="15" customHeight="1" s="75">
      <c r="A119" s="74">
        <f>IF(B119="","",ROW()-1)</f>
        <v/>
      </c>
      <c r="N119" s="98">
        <f>IF(OR(K119="",G119="",J119=""),"",IF(E119="LONG",(K119-G119)*J119,(G119-K119)*J119))</f>
        <v/>
      </c>
      <c r="O119" s="99">
        <f>IF(OR(K119="",G119="",G119=0),"",IF(E119="LONG",(K119-G119)/G119,(G119-K119)/G119))</f>
        <v/>
      </c>
      <c r="P119" s="100">
        <f>IF(OR(N119="",H119="",G119="",ABS(G119-H119)=0),"",N119/(ABS(G119-H119)*J119))</f>
        <v/>
      </c>
      <c r="Q119" s="74">
        <f>IF(N119="","",IF(N119&gt;0,"WIN",IF(N119&lt;0,"LOSS","FLAT")))</f>
        <v/>
      </c>
      <c r="AC119" s="98">
        <f>IF(N119="","",N119-IF(Z119="",0,Z119))</f>
        <v/>
      </c>
    </row>
    <row r="120" ht="15" customHeight="1" s="75">
      <c r="A120" s="74">
        <f>IF(B120="","",ROW()-1)</f>
        <v/>
      </c>
      <c r="N120" s="98">
        <f>IF(OR(K120="",G120="",J120=""),"",IF(E120="LONG",(K120-G120)*J120,(G120-K120)*J120))</f>
        <v/>
      </c>
      <c r="O120" s="99">
        <f>IF(OR(K120="",G120="",G120=0),"",IF(E120="LONG",(K120-G120)/G120,(G120-K120)/G120))</f>
        <v/>
      </c>
      <c r="P120" s="100">
        <f>IF(OR(N120="",H120="",G120="",ABS(G120-H120)=0),"",N120/(ABS(G120-H120)*J120))</f>
        <v/>
      </c>
      <c r="Q120" s="74">
        <f>IF(N120="","",IF(N120&gt;0,"WIN",IF(N120&lt;0,"LOSS","FLAT")))</f>
        <v/>
      </c>
      <c r="AC120" s="98">
        <f>IF(N120="","",N120-IF(Z120="",0,Z120))</f>
        <v/>
      </c>
    </row>
    <row r="121" ht="15" customHeight="1" s="75">
      <c r="A121" s="74">
        <f>IF(B121="","",ROW()-1)</f>
        <v/>
      </c>
      <c r="N121" s="98">
        <f>IF(OR(K121="",G121="",J121=""),"",IF(E121="LONG",(K121-G121)*J121,(G121-K121)*J121))</f>
        <v/>
      </c>
      <c r="O121" s="99">
        <f>IF(OR(K121="",G121="",G121=0),"",IF(E121="LONG",(K121-G121)/G121,(G121-K121)/G121))</f>
        <v/>
      </c>
      <c r="P121" s="100">
        <f>IF(OR(N121="",H121="",G121="",ABS(G121-H121)=0),"",N121/(ABS(G121-H121)*J121))</f>
        <v/>
      </c>
      <c r="Q121" s="74">
        <f>IF(N121="","",IF(N121&gt;0,"WIN",IF(N121&lt;0,"LOSS","FLAT")))</f>
        <v/>
      </c>
      <c r="AC121" s="98">
        <f>IF(N121="","",N121-IF(Z121="",0,Z121))</f>
        <v/>
      </c>
    </row>
    <row r="122" ht="15" customHeight="1" s="75">
      <c r="A122" s="74">
        <f>IF(B122="","",ROW()-1)</f>
        <v/>
      </c>
      <c r="N122" s="98">
        <f>IF(OR(K122="",G122="",J122=""),"",IF(E122="LONG",(K122-G122)*J122,(G122-K122)*J122))</f>
        <v/>
      </c>
      <c r="O122" s="99">
        <f>IF(OR(K122="",G122="",G122=0),"",IF(E122="LONG",(K122-G122)/G122,(G122-K122)/G122))</f>
        <v/>
      </c>
      <c r="P122" s="100">
        <f>IF(OR(N122="",H122="",G122="",ABS(G122-H122)=0),"",N122/(ABS(G122-H122)*J122))</f>
        <v/>
      </c>
      <c r="Q122" s="74">
        <f>IF(N122="","",IF(N122&gt;0,"WIN",IF(N122&lt;0,"LOSS","FLAT")))</f>
        <v/>
      </c>
      <c r="AC122" s="98">
        <f>IF(N122="","",N122-IF(Z122="",0,Z122))</f>
        <v/>
      </c>
    </row>
    <row r="123" ht="15" customHeight="1" s="75">
      <c r="A123" s="74">
        <f>IF(B123="","",ROW()-1)</f>
        <v/>
      </c>
      <c r="N123" s="98">
        <f>IF(OR(K123="",G123="",J123=""),"",IF(E123="LONG",(K123-G123)*J123,(G123-K123)*J123))</f>
        <v/>
      </c>
      <c r="O123" s="99">
        <f>IF(OR(K123="",G123="",G123=0),"",IF(E123="LONG",(K123-G123)/G123,(G123-K123)/G123))</f>
        <v/>
      </c>
      <c r="P123" s="100">
        <f>IF(OR(N123="",H123="",G123="",ABS(G123-H123)=0),"",N123/(ABS(G123-H123)*J123))</f>
        <v/>
      </c>
      <c r="Q123" s="74">
        <f>IF(N123="","",IF(N123&gt;0,"WIN",IF(N123&lt;0,"LOSS","FLAT")))</f>
        <v/>
      </c>
      <c r="AC123" s="98">
        <f>IF(N123="","",N123-IF(Z123="",0,Z123))</f>
        <v/>
      </c>
    </row>
    <row r="124" ht="15" customHeight="1" s="75">
      <c r="A124" s="74">
        <f>IF(B124="","",ROW()-1)</f>
        <v/>
      </c>
      <c r="N124" s="98">
        <f>IF(OR(K124="",G124="",J124=""),"",IF(E124="LONG",(K124-G124)*J124,(G124-K124)*J124))</f>
        <v/>
      </c>
      <c r="O124" s="99">
        <f>IF(OR(K124="",G124="",G124=0),"",IF(E124="LONG",(K124-G124)/G124,(G124-K124)/G124))</f>
        <v/>
      </c>
      <c r="P124" s="100">
        <f>IF(OR(N124="",H124="",G124="",ABS(G124-H124)=0),"",N124/(ABS(G124-H124)*J124))</f>
        <v/>
      </c>
      <c r="Q124" s="74">
        <f>IF(N124="","",IF(N124&gt;0,"WIN",IF(N124&lt;0,"LOSS","FLAT")))</f>
        <v/>
      </c>
      <c r="AC124" s="98">
        <f>IF(N124="","",N124-IF(Z124="",0,Z124))</f>
        <v/>
      </c>
    </row>
    <row r="125" ht="15" customHeight="1" s="75">
      <c r="A125" s="74">
        <f>IF(B125="","",ROW()-1)</f>
        <v/>
      </c>
      <c r="N125" s="98">
        <f>IF(OR(K125="",G125="",J125=""),"",IF(E125="LONG",(K125-G125)*J125,(G125-K125)*J125))</f>
        <v/>
      </c>
      <c r="O125" s="99">
        <f>IF(OR(K125="",G125="",G125=0),"",IF(E125="LONG",(K125-G125)/G125,(G125-K125)/G125))</f>
        <v/>
      </c>
      <c r="P125" s="100">
        <f>IF(OR(N125="",H125="",G125="",ABS(G125-H125)=0),"",N125/(ABS(G125-H125)*J125))</f>
        <v/>
      </c>
      <c r="Q125" s="74">
        <f>IF(N125="","",IF(N125&gt;0,"WIN",IF(N125&lt;0,"LOSS","FLAT")))</f>
        <v/>
      </c>
      <c r="AC125" s="98">
        <f>IF(N125="","",N125-IF(Z125="",0,Z125))</f>
        <v/>
      </c>
    </row>
    <row r="126" ht="15" customHeight="1" s="75">
      <c r="A126" s="74">
        <f>IF(B126="","",ROW()-1)</f>
        <v/>
      </c>
      <c r="N126" s="98">
        <f>IF(OR(K126="",G126="",J126=""),"",IF(E126="LONG",(K126-G126)*J126,(G126-K126)*J126))</f>
        <v/>
      </c>
      <c r="O126" s="99">
        <f>IF(OR(K126="",G126="",G126=0),"",IF(E126="LONG",(K126-G126)/G126,(G126-K126)/G126))</f>
        <v/>
      </c>
      <c r="P126" s="100">
        <f>IF(OR(N126="",H126="",G126="",ABS(G126-H126)=0),"",N126/(ABS(G126-H126)*J126))</f>
        <v/>
      </c>
      <c r="Q126" s="74">
        <f>IF(N126="","",IF(N126&gt;0,"WIN",IF(N126&lt;0,"LOSS","FLAT")))</f>
        <v/>
      </c>
      <c r="AC126" s="98">
        <f>IF(N126="","",N126-IF(Z126="",0,Z126))</f>
        <v/>
      </c>
    </row>
    <row r="127" ht="15" customHeight="1" s="75">
      <c r="A127" s="74">
        <f>IF(B127="","",ROW()-1)</f>
        <v/>
      </c>
      <c r="N127" s="98">
        <f>IF(OR(K127="",G127="",J127=""),"",IF(E127="LONG",(K127-G127)*J127,(G127-K127)*J127))</f>
        <v/>
      </c>
      <c r="O127" s="99">
        <f>IF(OR(K127="",G127="",G127=0),"",IF(E127="LONG",(K127-G127)/G127,(G127-K127)/G127))</f>
        <v/>
      </c>
      <c r="P127" s="100">
        <f>IF(OR(N127="",H127="",G127="",ABS(G127-H127)=0),"",N127/(ABS(G127-H127)*J127))</f>
        <v/>
      </c>
      <c r="Q127" s="74">
        <f>IF(N127="","",IF(N127&gt;0,"WIN",IF(N127&lt;0,"LOSS","FLAT")))</f>
        <v/>
      </c>
      <c r="AC127" s="98">
        <f>IF(N127="","",N127-IF(Z127="",0,Z127))</f>
        <v/>
      </c>
    </row>
    <row r="128" ht="15" customHeight="1" s="75">
      <c r="A128" s="74">
        <f>IF(B128="","",ROW()-1)</f>
        <v/>
      </c>
      <c r="N128" s="98">
        <f>IF(OR(K128="",G128="",J128=""),"",IF(E128="LONG",(K128-G128)*J128,(G128-K128)*J128))</f>
        <v/>
      </c>
      <c r="O128" s="99">
        <f>IF(OR(K128="",G128="",G128=0),"",IF(E128="LONG",(K128-G128)/G128,(G128-K128)/G128))</f>
        <v/>
      </c>
      <c r="P128" s="100">
        <f>IF(OR(N128="",H128="",G128="",ABS(G128-H128)=0),"",N128/(ABS(G128-H128)*J128))</f>
        <v/>
      </c>
      <c r="Q128" s="74">
        <f>IF(N128="","",IF(N128&gt;0,"WIN",IF(N128&lt;0,"LOSS","FLAT")))</f>
        <v/>
      </c>
      <c r="AC128" s="98">
        <f>IF(N128="","",N128-IF(Z128="",0,Z128))</f>
        <v/>
      </c>
    </row>
    <row r="129" ht="15" customHeight="1" s="75">
      <c r="A129" s="74">
        <f>IF(B129="","",ROW()-1)</f>
        <v/>
      </c>
      <c r="N129" s="98">
        <f>IF(OR(K129="",G129="",J129=""),"",IF(E129="LONG",(K129-G129)*J129,(G129-K129)*J129))</f>
        <v/>
      </c>
      <c r="O129" s="99">
        <f>IF(OR(K129="",G129="",G129=0),"",IF(E129="LONG",(K129-G129)/G129,(G129-K129)/G129))</f>
        <v/>
      </c>
      <c r="P129" s="100">
        <f>IF(OR(N129="",H129="",G129="",ABS(G129-H129)=0),"",N129/(ABS(G129-H129)*J129))</f>
        <v/>
      </c>
      <c r="Q129" s="74">
        <f>IF(N129="","",IF(N129&gt;0,"WIN",IF(N129&lt;0,"LOSS","FLAT")))</f>
        <v/>
      </c>
      <c r="AC129" s="98">
        <f>IF(N129="","",N129-IF(Z129="",0,Z129))</f>
        <v/>
      </c>
    </row>
    <row r="130" ht="15" customHeight="1" s="75">
      <c r="A130" s="74">
        <f>IF(B130="","",ROW()-1)</f>
        <v/>
      </c>
      <c r="N130" s="98">
        <f>IF(OR(K130="",G130="",J130=""),"",IF(E130="LONG",(K130-G130)*J130,(G130-K130)*J130))</f>
        <v/>
      </c>
      <c r="O130" s="99">
        <f>IF(OR(K130="",G130="",G130=0),"",IF(E130="LONG",(K130-G130)/G130,(G130-K130)/G130))</f>
        <v/>
      </c>
      <c r="P130" s="100">
        <f>IF(OR(N130="",H130="",G130="",ABS(G130-H130)=0),"",N130/(ABS(G130-H130)*J130))</f>
        <v/>
      </c>
      <c r="Q130" s="74">
        <f>IF(N130="","",IF(N130&gt;0,"WIN",IF(N130&lt;0,"LOSS","FLAT")))</f>
        <v/>
      </c>
      <c r="AC130" s="98">
        <f>IF(N130="","",N130-IF(Z130="",0,Z130))</f>
        <v/>
      </c>
    </row>
    <row r="131" ht="15" customHeight="1" s="75">
      <c r="A131" s="74">
        <f>IF(B131="","",ROW()-1)</f>
        <v/>
      </c>
      <c r="N131" s="98">
        <f>IF(OR(K131="",G131="",J131=""),"",IF(E131="LONG",(K131-G131)*J131,(G131-K131)*J131))</f>
        <v/>
      </c>
      <c r="O131" s="99">
        <f>IF(OR(K131="",G131="",G131=0),"",IF(E131="LONG",(K131-G131)/G131,(G131-K131)/G131))</f>
        <v/>
      </c>
      <c r="P131" s="100">
        <f>IF(OR(N131="",H131="",G131="",ABS(G131-H131)=0),"",N131/(ABS(G131-H131)*J131))</f>
        <v/>
      </c>
      <c r="Q131" s="74">
        <f>IF(N131="","",IF(N131&gt;0,"WIN",IF(N131&lt;0,"LOSS","FLAT")))</f>
        <v/>
      </c>
      <c r="AC131" s="98">
        <f>IF(N131="","",N131-IF(Z131="",0,Z131))</f>
        <v/>
      </c>
    </row>
    <row r="132" ht="15" customHeight="1" s="75">
      <c r="A132" s="74">
        <f>IF(B132="","",ROW()-1)</f>
        <v/>
      </c>
      <c r="N132" s="98">
        <f>IF(OR(K132="",G132="",J132=""),"",IF(E132="LONG",(K132-G132)*J132,(G132-K132)*J132))</f>
        <v/>
      </c>
      <c r="O132" s="99">
        <f>IF(OR(K132="",G132="",G132=0),"",IF(E132="LONG",(K132-G132)/G132,(G132-K132)/G132))</f>
        <v/>
      </c>
      <c r="P132" s="100">
        <f>IF(OR(N132="",H132="",G132="",ABS(G132-H132)=0),"",N132/(ABS(G132-H132)*J132))</f>
        <v/>
      </c>
      <c r="Q132" s="74">
        <f>IF(N132="","",IF(N132&gt;0,"WIN",IF(N132&lt;0,"LOSS","FLAT")))</f>
        <v/>
      </c>
      <c r="AC132" s="98">
        <f>IF(N132="","",N132-IF(Z132="",0,Z132))</f>
        <v/>
      </c>
    </row>
    <row r="133" ht="15" customHeight="1" s="75">
      <c r="A133" s="74">
        <f>IF(B133="","",ROW()-1)</f>
        <v/>
      </c>
      <c r="N133" s="98">
        <f>IF(OR(K133="",G133="",J133=""),"",IF(E133="LONG",(K133-G133)*J133,(G133-K133)*J133))</f>
        <v/>
      </c>
      <c r="O133" s="99">
        <f>IF(OR(K133="",G133="",G133=0),"",IF(E133="LONG",(K133-G133)/G133,(G133-K133)/G133))</f>
        <v/>
      </c>
      <c r="P133" s="100">
        <f>IF(OR(N133="",H133="",G133="",ABS(G133-H133)=0),"",N133/(ABS(G133-H133)*J133))</f>
        <v/>
      </c>
      <c r="Q133" s="74">
        <f>IF(N133="","",IF(N133&gt;0,"WIN",IF(N133&lt;0,"LOSS","FLAT")))</f>
        <v/>
      </c>
      <c r="AC133" s="98">
        <f>IF(N133="","",N133-IF(Z133="",0,Z133))</f>
        <v/>
      </c>
    </row>
    <row r="134" ht="15" customHeight="1" s="75">
      <c r="A134" s="74">
        <f>IF(B134="","",ROW()-1)</f>
        <v/>
      </c>
      <c r="N134" s="98">
        <f>IF(OR(K134="",G134="",J134=""),"",IF(E134="LONG",(K134-G134)*J134,(G134-K134)*J134))</f>
        <v/>
      </c>
      <c r="O134" s="99">
        <f>IF(OR(K134="",G134="",G134=0),"",IF(E134="LONG",(K134-G134)/G134,(G134-K134)/G134))</f>
        <v/>
      </c>
      <c r="P134" s="100">
        <f>IF(OR(N134="",H134="",G134="",ABS(G134-H134)=0),"",N134/(ABS(G134-H134)*J134))</f>
        <v/>
      </c>
      <c r="Q134" s="74">
        <f>IF(N134="","",IF(N134&gt;0,"WIN",IF(N134&lt;0,"LOSS","FLAT")))</f>
        <v/>
      </c>
      <c r="AC134" s="98">
        <f>IF(N134="","",N134-IF(Z134="",0,Z134))</f>
        <v/>
      </c>
    </row>
    <row r="135" ht="15" customHeight="1" s="75">
      <c r="A135" s="74">
        <f>IF(B135="","",ROW()-1)</f>
        <v/>
      </c>
      <c r="N135" s="98">
        <f>IF(OR(K135="",G135="",J135=""),"",IF(E135="LONG",(K135-G135)*J135,(G135-K135)*J135))</f>
        <v/>
      </c>
      <c r="O135" s="99">
        <f>IF(OR(K135="",G135="",G135=0),"",IF(E135="LONG",(K135-G135)/G135,(G135-K135)/G135))</f>
        <v/>
      </c>
      <c r="P135" s="100">
        <f>IF(OR(N135="",H135="",G135="",ABS(G135-H135)=0),"",N135/(ABS(G135-H135)*J135))</f>
        <v/>
      </c>
      <c r="Q135" s="74">
        <f>IF(N135="","",IF(N135&gt;0,"WIN",IF(N135&lt;0,"LOSS","FLAT")))</f>
        <v/>
      </c>
      <c r="AC135" s="98">
        <f>IF(N135="","",N135-IF(Z135="",0,Z135))</f>
        <v/>
      </c>
    </row>
    <row r="136" ht="15" customHeight="1" s="75">
      <c r="A136" s="74">
        <f>IF(B136="","",ROW()-1)</f>
        <v/>
      </c>
      <c r="N136" s="98">
        <f>IF(OR(K136="",G136="",J136=""),"",IF(E136="LONG",(K136-G136)*J136,(G136-K136)*J136))</f>
        <v/>
      </c>
      <c r="O136" s="99">
        <f>IF(OR(K136="",G136="",G136=0),"",IF(E136="LONG",(K136-G136)/G136,(G136-K136)/G136))</f>
        <v/>
      </c>
      <c r="P136" s="100">
        <f>IF(OR(N136="",H136="",G136="",ABS(G136-H136)=0),"",N136/(ABS(G136-H136)*J136))</f>
        <v/>
      </c>
      <c r="Q136" s="74">
        <f>IF(N136="","",IF(N136&gt;0,"WIN",IF(N136&lt;0,"LOSS","FLAT")))</f>
        <v/>
      </c>
      <c r="AC136" s="98">
        <f>IF(N136="","",N136-IF(Z136="",0,Z136))</f>
        <v/>
      </c>
    </row>
    <row r="137" ht="15" customHeight="1" s="75">
      <c r="A137" s="74">
        <f>IF(B137="","",ROW()-1)</f>
        <v/>
      </c>
      <c r="N137" s="98">
        <f>IF(OR(K137="",G137="",J137=""),"",IF(E137="LONG",(K137-G137)*J137,(G137-K137)*J137))</f>
        <v/>
      </c>
      <c r="O137" s="99">
        <f>IF(OR(K137="",G137="",G137=0),"",IF(E137="LONG",(K137-G137)/G137,(G137-K137)/G137))</f>
        <v/>
      </c>
      <c r="P137" s="100">
        <f>IF(OR(N137="",H137="",G137="",ABS(G137-H137)=0),"",N137/(ABS(G137-H137)*J137))</f>
        <v/>
      </c>
      <c r="Q137" s="74">
        <f>IF(N137="","",IF(N137&gt;0,"WIN",IF(N137&lt;0,"LOSS","FLAT")))</f>
        <v/>
      </c>
      <c r="AC137" s="98">
        <f>IF(N137="","",N137-IF(Z137="",0,Z137))</f>
        <v/>
      </c>
    </row>
    <row r="138" ht="15" customHeight="1" s="75">
      <c r="A138" s="74">
        <f>IF(B138="","",ROW()-1)</f>
        <v/>
      </c>
      <c r="N138" s="98">
        <f>IF(OR(K138="",G138="",J138=""),"",IF(E138="LONG",(K138-G138)*J138,(G138-K138)*J138))</f>
        <v/>
      </c>
      <c r="O138" s="99">
        <f>IF(OR(K138="",G138="",G138=0),"",IF(E138="LONG",(K138-G138)/G138,(G138-K138)/G138))</f>
        <v/>
      </c>
      <c r="P138" s="100">
        <f>IF(OR(N138="",H138="",G138="",ABS(G138-H138)=0),"",N138/(ABS(G138-H138)*J138))</f>
        <v/>
      </c>
      <c r="Q138" s="74">
        <f>IF(N138="","",IF(N138&gt;0,"WIN",IF(N138&lt;0,"LOSS","FLAT")))</f>
        <v/>
      </c>
      <c r="AC138" s="98">
        <f>IF(N138="","",N138-IF(Z138="",0,Z138))</f>
        <v/>
      </c>
    </row>
    <row r="139" ht="15" customHeight="1" s="75">
      <c r="A139" s="74">
        <f>IF(B139="","",ROW()-1)</f>
        <v/>
      </c>
      <c r="N139" s="98">
        <f>IF(OR(K139="",G139="",J139=""),"",IF(E139="LONG",(K139-G139)*J139,(G139-K139)*J139))</f>
        <v/>
      </c>
      <c r="O139" s="99">
        <f>IF(OR(K139="",G139="",G139=0),"",IF(E139="LONG",(K139-G139)/G139,(G139-K139)/G139))</f>
        <v/>
      </c>
      <c r="P139" s="100">
        <f>IF(OR(N139="",H139="",G139="",ABS(G139-H139)=0),"",N139/(ABS(G139-H139)*J139))</f>
        <v/>
      </c>
      <c r="Q139" s="74">
        <f>IF(N139="","",IF(N139&gt;0,"WIN",IF(N139&lt;0,"LOSS","FLAT")))</f>
        <v/>
      </c>
      <c r="AC139" s="98">
        <f>IF(N139="","",N139-IF(Z139="",0,Z139))</f>
        <v/>
      </c>
    </row>
    <row r="140" ht="15" customHeight="1" s="75">
      <c r="A140" s="74">
        <f>IF(B140="","",ROW()-1)</f>
        <v/>
      </c>
      <c r="N140" s="98">
        <f>IF(OR(K140="",G140="",J140=""),"",IF(E140="LONG",(K140-G140)*J140,(G140-K140)*J140))</f>
        <v/>
      </c>
      <c r="O140" s="99">
        <f>IF(OR(K140="",G140="",G140=0),"",IF(E140="LONG",(K140-G140)/G140,(G140-K140)/G140))</f>
        <v/>
      </c>
      <c r="P140" s="100">
        <f>IF(OR(N140="",H140="",G140="",ABS(G140-H140)=0),"",N140/(ABS(G140-H140)*J140))</f>
        <v/>
      </c>
      <c r="Q140" s="74">
        <f>IF(N140="","",IF(N140&gt;0,"WIN",IF(N140&lt;0,"LOSS","FLAT")))</f>
        <v/>
      </c>
      <c r="AC140" s="98">
        <f>IF(N140="","",N140-IF(Z140="",0,Z140))</f>
        <v/>
      </c>
    </row>
    <row r="141" ht="15" customHeight="1" s="75">
      <c r="A141" s="74">
        <f>IF(B141="","",ROW()-1)</f>
        <v/>
      </c>
      <c r="N141" s="98">
        <f>IF(OR(K141="",G141="",J141=""),"",IF(E141="LONG",(K141-G141)*J141,(G141-K141)*J141))</f>
        <v/>
      </c>
      <c r="O141" s="99">
        <f>IF(OR(K141="",G141="",G141=0),"",IF(E141="LONG",(K141-G141)/G141,(G141-K141)/G141))</f>
        <v/>
      </c>
      <c r="P141" s="100">
        <f>IF(OR(N141="",H141="",G141="",ABS(G141-H141)=0),"",N141/(ABS(G141-H141)*J141))</f>
        <v/>
      </c>
      <c r="Q141" s="74">
        <f>IF(N141="","",IF(N141&gt;0,"WIN",IF(N141&lt;0,"LOSS","FLAT")))</f>
        <v/>
      </c>
      <c r="AC141" s="98">
        <f>IF(N141="","",N141-IF(Z141="",0,Z141))</f>
        <v/>
      </c>
    </row>
    <row r="142" ht="15" customHeight="1" s="75">
      <c r="A142" s="74">
        <f>IF(B142="","",ROW()-1)</f>
        <v/>
      </c>
      <c r="N142" s="98">
        <f>IF(OR(K142="",G142="",J142=""),"",IF(E142="LONG",(K142-G142)*J142,(G142-K142)*J142))</f>
        <v/>
      </c>
      <c r="O142" s="99">
        <f>IF(OR(K142="",G142="",G142=0),"",IF(E142="LONG",(K142-G142)/G142,(G142-K142)/G142))</f>
        <v/>
      </c>
      <c r="P142" s="100">
        <f>IF(OR(N142="",H142="",G142="",ABS(G142-H142)=0),"",N142/(ABS(G142-H142)*J142))</f>
        <v/>
      </c>
      <c r="Q142" s="74">
        <f>IF(N142="","",IF(N142&gt;0,"WIN",IF(N142&lt;0,"LOSS","FLAT")))</f>
        <v/>
      </c>
      <c r="AC142" s="98">
        <f>IF(N142="","",N142-IF(Z142="",0,Z142))</f>
        <v/>
      </c>
    </row>
    <row r="143" ht="15" customHeight="1" s="75">
      <c r="A143" s="74">
        <f>IF(B143="","",ROW()-1)</f>
        <v/>
      </c>
      <c r="N143" s="98">
        <f>IF(OR(K143="",G143="",J143=""),"",IF(E143="LONG",(K143-G143)*J143,(G143-K143)*J143))</f>
        <v/>
      </c>
      <c r="O143" s="99">
        <f>IF(OR(K143="",G143="",G143=0),"",IF(E143="LONG",(K143-G143)/G143,(G143-K143)/G143))</f>
        <v/>
      </c>
      <c r="P143" s="100">
        <f>IF(OR(N143="",H143="",G143="",ABS(G143-H143)=0),"",N143/(ABS(G143-H143)*J143))</f>
        <v/>
      </c>
      <c r="Q143" s="74">
        <f>IF(N143="","",IF(N143&gt;0,"WIN",IF(N143&lt;0,"LOSS","FLAT")))</f>
        <v/>
      </c>
      <c r="AC143" s="98">
        <f>IF(N143="","",N143-IF(Z143="",0,Z143))</f>
        <v/>
      </c>
    </row>
    <row r="144" ht="15" customHeight="1" s="75">
      <c r="A144" s="74">
        <f>IF(B144="","",ROW()-1)</f>
        <v/>
      </c>
      <c r="N144" s="98">
        <f>IF(OR(K144="",G144="",J144=""),"",IF(E144="LONG",(K144-G144)*J144,(G144-K144)*J144))</f>
        <v/>
      </c>
      <c r="O144" s="99">
        <f>IF(OR(K144="",G144="",G144=0),"",IF(E144="LONG",(K144-G144)/G144,(G144-K144)/G144))</f>
        <v/>
      </c>
      <c r="P144" s="100">
        <f>IF(OR(N144="",H144="",G144="",ABS(G144-H144)=0),"",N144/(ABS(G144-H144)*J144))</f>
        <v/>
      </c>
      <c r="Q144" s="74">
        <f>IF(N144="","",IF(N144&gt;0,"WIN",IF(N144&lt;0,"LOSS","FLAT")))</f>
        <v/>
      </c>
      <c r="AC144" s="98">
        <f>IF(N144="","",N144-IF(Z144="",0,Z144))</f>
        <v/>
      </c>
    </row>
    <row r="145" ht="15" customHeight="1" s="75">
      <c r="A145" s="74">
        <f>IF(B145="","",ROW()-1)</f>
        <v/>
      </c>
      <c r="N145" s="98">
        <f>IF(OR(K145="",G145="",J145=""),"",IF(E145="LONG",(K145-G145)*J145,(G145-K145)*J145))</f>
        <v/>
      </c>
      <c r="O145" s="99">
        <f>IF(OR(K145="",G145="",G145=0),"",IF(E145="LONG",(K145-G145)/G145,(G145-K145)/G145))</f>
        <v/>
      </c>
      <c r="P145" s="100">
        <f>IF(OR(N145="",H145="",G145="",ABS(G145-H145)=0),"",N145/(ABS(G145-H145)*J145))</f>
        <v/>
      </c>
      <c r="Q145" s="74">
        <f>IF(N145="","",IF(N145&gt;0,"WIN",IF(N145&lt;0,"LOSS","FLAT")))</f>
        <v/>
      </c>
      <c r="AC145" s="98">
        <f>IF(N145="","",N145-IF(Z145="",0,Z145))</f>
        <v/>
      </c>
    </row>
    <row r="146" ht="15" customHeight="1" s="75">
      <c r="A146" s="74">
        <f>IF(B146="","",ROW()-1)</f>
        <v/>
      </c>
      <c r="N146" s="98">
        <f>IF(OR(K146="",G146="",J146=""),"",IF(E146="LONG",(K146-G146)*J146,(G146-K146)*J146))</f>
        <v/>
      </c>
      <c r="O146" s="99">
        <f>IF(OR(K146="",G146="",G146=0),"",IF(E146="LONG",(K146-G146)/G146,(G146-K146)/G146))</f>
        <v/>
      </c>
      <c r="P146" s="100">
        <f>IF(OR(N146="",H146="",G146="",ABS(G146-H146)=0),"",N146/(ABS(G146-H146)*J146))</f>
        <v/>
      </c>
      <c r="Q146" s="74">
        <f>IF(N146="","",IF(N146&gt;0,"WIN",IF(N146&lt;0,"LOSS","FLAT")))</f>
        <v/>
      </c>
      <c r="AC146" s="98">
        <f>IF(N146="","",N146-IF(Z146="",0,Z146))</f>
        <v/>
      </c>
    </row>
    <row r="147" ht="15" customHeight="1" s="75">
      <c r="A147" s="74">
        <f>IF(B147="","",ROW()-1)</f>
        <v/>
      </c>
      <c r="N147" s="98">
        <f>IF(OR(K147="",G147="",J147=""),"",IF(E147="LONG",(K147-G147)*J147,(G147-K147)*J147))</f>
        <v/>
      </c>
      <c r="O147" s="99">
        <f>IF(OR(K147="",G147="",G147=0),"",IF(E147="LONG",(K147-G147)/G147,(G147-K147)/G147))</f>
        <v/>
      </c>
      <c r="P147" s="100">
        <f>IF(OR(N147="",H147="",G147="",ABS(G147-H147)=0),"",N147/(ABS(G147-H147)*J147))</f>
        <v/>
      </c>
      <c r="Q147" s="74">
        <f>IF(N147="","",IF(N147&gt;0,"WIN",IF(N147&lt;0,"LOSS","FLAT")))</f>
        <v/>
      </c>
      <c r="AC147" s="98">
        <f>IF(N147="","",N147-IF(Z147="",0,Z147))</f>
        <v/>
      </c>
    </row>
    <row r="148" ht="15" customHeight="1" s="75">
      <c r="A148" s="74">
        <f>IF(B148="","",ROW()-1)</f>
        <v/>
      </c>
      <c r="N148" s="98">
        <f>IF(OR(K148="",G148="",J148=""),"",IF(E148="LONG",(K148-G148)*J148,(G148-K148)*J148))</f>
        <v/>
      </c>
      <c r="O148" s="99">
        <f>IF(OR(K148="",G148="",G148=0),"",IF(E148="LONG",(K148-G148)/G148,(G148-K148)/G148))</f>
        <v/>
      </c>
      <c r="P148" s="100">
        <f>IF(OR(N148="",H148="",G148="",ABS(G148-H148)=0),"",N148/(ABS(G148-H148)*J148))</f>
        <v/>
      </c>
      <c r="Q148" s="74">
        <f>IF(N148="","",IF(N148&gt;0,"WIN",IF(N148&lt;0,"LOSS","FLAT")))</f>
        <v/>
      </c>
      <c r="AC148" s="98">
        <f>IF(N148="","",N148-IF(Z148="",0,Z148))</f>
        <v/>
      </c>
    </row>
    <row r="149" ht="15" customHeight="1" s="75">
      <c r="A149" s="74">
        <f>IF(B149="","",ROW()-1)</f>
        <v/>
      </c>
      <c r="N149" s="98">
        <f>IF(OR(K149="",G149="",J149=""),"",IF(E149="LONG",(K149-G149)*J149,(G149-K149)*J149))</f>
        <v/>
      </c>
      <c r="O149" s="99">
        <f>IF(OR(K149="",G149="",G149=0),"",IF(E149="LONG",(K149-G149)/G149,(G149-K149)/G149))</f>
        <v/>
      </c>
      <c r="P149" s="100">
        <f>IF(OR(N149="",H149="",G149="",ABS(G149-H149)=0),"",N149/(ABS(G149-H149)*J149))</f>
        <v/>
      </c>
      <c r="Q149" s="74">
        <f>IF(N149="","",IF(N149&gt;0,"WIN",IF(N149&lt;0,"LOSS","FLAT")))</f>
        <v/>
      </c>
      <c r="AC149" s="98">
        <f>IF(N149="","",N149-IF(Z149="",0,Z149))</f>
        <v/>
      </c>
    </row>
    <row r="150" ht="15" customHeight="1" s="75">
      <c r="A150" s="74">
        <f>IF(B150="","",ROW()-1)</f>
        <v/>
      </c>
      <c r="N150" s="98">
        <f>IF(OR(K150="",G150="",J150=""),"",IF(E150="LONG",(K150-G150)*J150,(G150-K150)*J150))</f>
        <v/>
      </c>
      <c r="O150" s="99">
        <f>IF(OR(K150="",G150="",G150=0),"",IF(E150="LONG",(K150-G150)/G150,(G150-K150)/G150))</f>
        <v/>
      </c>
      <c r="P150" s="100">
        <f>IF(OR(N150="",H150="",G150="",ABS(G150-H150)=0),"",N150/(ABS(G150-H150)*J150))</f>
        <v/>
      </c>
      <c r="Q150" s="74">
        <f>IF(N150="","",IF(N150&gt;0,"WIN",IF(N150&lt;0,"LOSS","FLAT")))</f>
        <v/>
      </c>
      <c r="AC150" s="98">
        <f>IF(N150="","",N150-IF(Z150="",0,Z150))</f>
        <v/>
      </c>
    </row>
    <row r="151" ht="15" customHeight="1" s="75">
      <c r="A151" s="74">
        <f>IF(B151="","",ROW()-1)</f>
        <v/>
      </c>
      <c r="N151" s="98">
        <f>IF(OR(K151="",G151="",J151=""),"",IF(E151="LONG",(K151-G151)*J151,(G151-K151)*J151))</f>
        <v/>
      </c>
      <c r="O151" s="99">
        <f>IF(OR(K151="",G151="",G151=0),"",IF(E151="LONG",(K151-G151)/G151,(G151-K151)/G151))</f>
        <v/>
      </c>
      <c r="P151" s="100">
        <f>IF(OR(N151="",H151="",G151="",ABS(G151-H151)=0),"",N151/(ABS(G151-H151)*J151))</f>
        <v/>
      </c>
      <c r="Q151" s="74">
        <f>IF(N151="","",IF(N151&gt;0,"WIN",IF(N151&lt;0,"LOSS","FLAT")))</f>
        <v/>
      </c>
      <c r="AC151" s="98">
        <f>IF(N151="","",N151-IF(Z151="",0,Z151))</f>
        <v/>
      </c>
    </row>
    <row r="152" ht="15" customHeight="1" s="75">
      <c r="A152" s="74">
        <f>IF(B152="","",ROW()-1)</f>
        <v/>
      </c>
      <c r="N152" s="98">
        <f>IF(OR(K152="",G152="",J152=""),"",IF(E152="LONG",(K152-G152)*J152,(G152-K152)*J152))</f>
        <v/>
      </c>
      <c r="O152" s="99">
        <f>IF(OR(K152="",G152="",G152=0),"",IF(E152="LONG",(K152-G152)/G152,(G152-K152)/G152))</f>
        <v/>
      </c>
      <c r="P152" s="100">
        <f>IF(OR(N152="",H152="",G152="",ABS(G152-H152)=0),"",N152/(ABS(G152-H152)*J152))</f>
        <v/>
      </c>
      <c r="Q152" s="74">
        <f>IF(N152="","",IF(N152&gt;0,"WIN",IF(N152&lt;0,"LOSS","FLAT")))</f>
        <v/>
      </c>
      <c r="AC152" s="98">
        <f>IF(N152="","",N152-IF(Z152="",0,Z152))</f>
        <v/>
      </c>
    </row>
    <row r="153" ht="15" customHeight="1" s="75">
      <c r="A153" s="74">
        <f>IF(B153="","",ROW()-1)</f>
        <v/>
      </c>
      <c r="N153" s="98">
        <f>IF(OR(K153="",G153="",J153=""),"",IF(E153="LONG",(K153-G153)*J153,(G153-K153)*J153))</f>
        <v/>
      </c>
      <c r="O153" s="99">
        <f>IF(OR(K153="",G153="",G153=0),"",IF(E153="LONG",(K153-G153)/G153,(G153-K153)/G153))</f>
        <v/>
      </c>
      <c r="P153" s="100">
        <f>IF(OR(N153="",H153="",G153="",ABS(G153-H153)=0),"",N153/(ABS(G153-H153)*J153))</f>
        <v/>
      </c>
      <c r="Q153" s="74">
        <f>IF(N153="","",IF(N153&gt;0,"WIN",IF(N153&lt;0,"LOSS","FLAT")))</f>
        <v/>
      </c>
      <c r="AC153" s="98">
        <f>IF(N153="","",N153-IF(Z153="",0,Z153))</f>
        <v/>
      </c>
    </row>
    <row r="154" ht="15" customHeight="1" s="75">
      <c r="A154" s="74">
        <f>IF(B154="","",ROW()-1)</f>
        <v/>
      </c>
      <c r="N154" s="98">
        <f>IF(OR(K154="",G154="",J154=""),"",IF(E154="LONG",(K154-G154)*J154,(G154-K154)*J154))</f>
        <v/>
      </c>
      <c r="O154" s="99">
        <f>IF(OR(K154="",G154="",G154=0),"",IF(E154="LONG",(K154-G154)/G154,(G154-K154)/G154))</f>
        <v/>
      </c>
      <c r="P154" s="100">
        <f>IF(OR(N154="",H154="",G154="",ABS(G154-H154)=0),"",N154/(ABS(G154-H154)*J154))</f>
        <v/>
      </c>
      <c r="Q154" s="74">
        <f>IF(N154="","",IF(N154&gt;0,"WIN",IF(N154&lt;0,"LOSS","FLAT")))</f>
        <v/>
      </c>
      <c r="AC154" s="98">
        <f>IF(N154="","",N154-IF(Z154="",0,Z154))</f>
        <v/>
      </c>
    </row>
    <row r="155" ht="15" customHeight="1" s="75">
      <c r="A155" s="74">
        <f>IF(B155="","",ROW()-1)</f>
        <v/>
      </c>
      <c r="N155" s="98">
        <f>IF(OR(K155="",G155="",J155=""),"",IF(E155="LONG",(K155-G155)*J155,(G155-K155)*J155))</f>
        <v/>
      </c>
      <c r="O155" s="99">
        <f>IF(OR(K155="",G155="",G155=0),"",IF(E155="LONG",(K155-G155)/G155,(G155-K155)/G155))</f>
        <v/>
      </c>
      <c r="P155" s="100">
        <f>IF(OR(N155="",H155="",G155="",ABS(G155-H155)=0),"",N155/(ABS(G155-H155)*J155))</f>
        <v/>
      </c>
      <c r="Q155" s="74">
        <f>IF(N155="","",IF(N155&gt;0,"WIN",IF(N155&lt;0,"LOSS","FLAT")))</f>
        <v/>
      </c>
      <c r="AC155" s="98">
        <f>IF(N155="","",N155-IF(Z155="",0,Z155))</f>
        <v/>
      </c>
    </row>
    <row r="156" ht="15" customHeight="1" s="75">
      <c r="A156" s="74">
        <f>IF(B156="","",ROW()-1)</f>
        <v/>
      </c>
      <c r="N156" s="98">
        <f>IF(OR(K156="",G156="",J156=""),"",IF(E156="LONG",(K156-G156)*J156,(G156-K156)*J156))</f>
        <v/>
      </c>
      <c r="O156" s="99">
        <f>IF(OR(K156="",G156="",G156=0),"",IF(E156="LONG",(K156-G156)/G156,(G156-K156)/G156))</f>
        <v/>
      </c>
      <c r="P156" s="100">
        <f>IF(OR(N156="",H156="",G156="",ABS(G156-H156)=0),"",N156/(ABS(G156-H156)*J156))</f>
        <v/>
      </c>
      <c r="Q156" s="74">
        <f>IF(N156="","",IF(N156&gt;0,"WIN",IF(N156&lt;0,"LOSS","FLAT")))</f>
        <v/>
      </c>
      <c r="AC156" s="98">
        <f>IF(N156="","",N156-IF(Z156="",0,Z156))</f>
        <v/>
      </c>
    </row>
    <row r="157" ht="15" customHeight="1" s="75">
      <c r="A157" s="74">
        <f>IF(B157="","",ROW()-1)</f>
        <v/>
      </c>
      <c r="N157" s="98">
        <f>IF(OR(K157="",G157="",J157=""),"",IF(E157="LONG",(K157-G157)*J157,(G157-K157)*J157))</f>
        <v/>
      </c>
      <c r="O157" s="99">
        <f>IF(OR(K157="",G157="",G157=0),"",IF(E157="LONG",(K157-G157)/G157,(G157-K157)/G157))</f>
        <v/>
      </c>
      <c r="P157" s="100">
        <f>IF(OR(N157="",H157="",G157="",ABS(G157-H157)=0),"",N157/(ABS(G157-H157)*J157))</f>
        <v/>
      </c>
      <c r="Q157" s="74">
        <f>IF(N157="","",IF(N157&gt;0,"WIN",IF(N157&lt;0,"LOSS","FLAT")))</f>
        <v/>
      </c>
      <c r="AC157" s="98">
        <f>IF(N157="","",N157-IF(Z157="",0,Z157))</f>
        <v/>
      </c>
    </row>
    <row r="158" ht="15" customHeight="1" s="75">
      <c r="A158" s="74">
        <f>IF(B158="","",ROW()-1)</f>
        <v/>
      </c>
      <c r="N158" s="98">
        <f>IF(OR(K158="",G158="",J158=""),"",IF(E158="LONG",(K158-G158)*J158,(G158-K158)*J158))</f>
        <v/>
      </c>
      <c r="O158" s="99">
        <f>IF(OR(K158="",G158="",G158=0),"",IF(E158="LONG",(K158-G158)/G158,(G158-K158)/G158))</f>
        <v/>
      </c>
      <c r="P158" s="100">
        <f>IF(OR(N158="",H158="",G158="",ABS(G158-H158)=0),"",N158/(ABS(G158-H158)*J158))</f>
        <v/>
      </c>
      <c r="Q158" s="74">
        <f>IF(N158="","",IF(N158&gt;0,"WIN",IF(N158&lt;0,"LOSS","FLAT")))</f>
        <v/>
      </c>
      <c r="AC158" s="98">
        <f>IF(N158="","",N158-IF(Z158="",0,Z158))</f>
        <v/>
      </c>
    </row>
    <row r="159" ht="15" customHeight="1" s="75">
      <c r="A159" s="74">
        <f>IF(B159="","",ROW()-1)</f>
        <v/>
      </c>
      <c r="N159" s="98">
        <f>IF(OR(K159="",G159="",J159=""),"",IF(E159="LONG",(K159-G159)*J159,(G159-K159)*J159))</f>
        <v/>
      </c>
      <c r="O159" s="99">
        <f>IF(OR(K159="",G159="",G159=0),"",IF(E159="LONG",(K159-G159)/G159,(G159-K159)/G159))</f>
        <v/>
      </c>
      <c r="P159" s="100">
        <f>IF(OR(N159="",H159="",G159="",ABS(G159-H159)=0),"",N159/(ABS(G159-H159)*J159))</f>
        <v/>
      </c>
      <c r="Q159" s="74">
        <f>IF(N159="","",IF(N159&gt;0,"WIN",IF(N159&lt;0,"LOSS","FLAT")))</f>
        <v/>
      </c>
      <c r="AC159" s="98">
        <f>IF(N159="","",N159-IF(Z159="",0,Z159))</f>
        <v/>
      </c>
    </row>
    <row r="160" ht="15" customHeight="1" s="75">
      <c r="A160" s="74">
        <f>IF(B160="","",ROW()-1)</f>
        <v/>
      </c>
      <c r="N160" s="98">
        <f>IF(OR(K160="",G160="",J160=""),"",IF(E160="LONG",(K160-G160)*J160,(G160-K160)*J160))</f>
        <v/>
      </c>
      <c r="O160" s="99">
        <f>IF(OR(K160="",G160="",G160=0),"",IF(E160="LONG",(K160-G160)/G160,(G160-K160)/G160))</f>
        <v/>
      </c>
      <c r="P160" s="100">
        <f>IF(OR(N160="",H160="",G160="",ABS(G160-H160)=0),"",N160/(ABS(G160-H160)*J160))</f>
        <v/>
      </c>
      <c r="Q160" s="74">
        <f>IF(N160="","",IF(N160&gt;0,"WIN",IF(N160&lt;0,"LOSS","FLAT")))</f>
        <v/>
      </c>
      <c r="AC160" s="98">
        <f>IF(N160="","",N160-IF(Z160="",0,Z160))</f>
        <v/>
      </c>
    </row>
    <row r="161" ht="15" customHeight="1" s="75">
      <c r="A161" s="74">
        <f>IF(B161="","",ROW()-1)</f>
        <v/>
      </c>
      <c r="N161" s="98">
        <f>IF(OR(K161="",G161="",J161=""),"",IF(E161="LONG",(K161-G161)*J161,(G161-K161)*J161))</f>
        <v/>
      </c>
      <c r="O161" s="99">
        <f>IF(OR(K161="",G161="",G161=0),"",IF(E161="LONG",(K161-G161)/G161,(G161-K161)/G161))</f>
        <v/>
      </c>
      <c r="P161" s="100">
        <f>IF(OR(N161="",H161="",G161="",ABS(G161-H161)=0),"",N161/(ABS(G161-H161)*J161))</f>
        <v/>
      </c>
      <c r="Q161" s="74">
        <f>IF(N161="","",IF(N161&gt;0,"WIN",IF(N161&lt;0,"LOSS","FLAT")))</f>
        <v/>
      </c>
      <c r="AC161" s="98">
        <f>IF(N161="","",N161-IF(Z161="",0,Z161))</f>
        <v/>
      </c>
    </row>
    <row r="162" ht="15" customHeight="1" s="75">
      <c r="A162" s="74">
        <f>IF(B162="","",ROW()-1)</f>
        <v/>
      </c>
      <c r="N162" s="98">
        <f>IF(OR(K162="",G162="",J162=""),"",IF(E162="LONG",(K162-G162)*J162,(G162-K162)*J162))</f>
        <v/>
      </c>
      <c r="O162" s="99">
        <f>IF(OR(K162="",G162="",G162=0),"",IF(E162="LONG",(K162-G162)/G162,(G162-K162)/G162))</f>
        <v/>
      </c>
      <c r="P162" s="100">
        <f>IF(OR(N162="",H162="",G162="",ABS(G162-H162)=0),"",N162/(ABS(G162-H162)*J162))</f>
        <v/>
      </c>
      <c r="Q162" s="74">
        <f>IF(N162="","",IF(N162&gt;0,"WIN",IF(N162&lt;0,"LOSS","FLAT")))</f>
        <v/>
      </c>
      <c r="AC162" s="98">
        <f>IF(N162="","",N162-IF(Z162="",0,Z162))</f>
        <v/>
      </c>
    </row>
    <row r="163" ht="15" customHeight="1" s="75">
      <c r="A163" s="74">
        <f>IF(B163="","",ROW()-1)</f>
        <v/>
      </c>
      <c r="N163" s="98">
        <f>IF(OR(K163="",G163="",J163=""),"",IF(E163="LONG",(K163-G163)*J163,(G163-K163)*J163))</f>
        <v/>
      </c>
      <c r="O163" s="99">
        <f>IF(OR(K163="",G163="",G163=0),"",IF(E163="LONG",(K163-G163)/G163,(G163-K163)/G163))</f>
        <v/>
      </c>
      <c r="P163" s="100">
        <f>IF(OR(N163="",H163="",G163="",ABS(G163-H163)=0),"",N163/(ABS(G163-H163)*J163))</f>
        <v/>
      </c>
      <c r="Q163" s="74">
        <f>IF(N163="","",IF(N163&gt;0,"WIN",IF(N163&lt;0,"LOSS","FLAT")))</f>
        <v/>
      </c>
      <c r="AC163" s="98">
        <f>IF(N163="","",N163-IF(Z163="",0,Z163))</f>
        <v/>
      </c>
    </row>
    <row r="164" ht="15" customHeight="1" s="75">
      <c r="A164" s="74">
        <f>IF(B164="","",ROW()-1)</f>
        <v/>
      </c>
      <c r="N164" s="98">
        <f>IF(OR(K164="",G164="",J164=""),"",IF(E164="LONG",(K164-G164)*J164,(G164-K164)*J164))</f>
        <v/>
      </c>
      <c r="O164" s="99">
        <f>IF(OR(K164="",G164="",G164=0),"",IF(E164="LONG",(K164-G164)/G164,(G164-K164)/G164))</f>
        <v/>
      </c>
      <c r="P164" s="100">
        <f>IF(OR(N164="",H164="",G164="",ABS(G164-H164)=0),"",N164/(ABS(G164-H164)*J164))</f>
        <v/>
      </c>
      <c r="Q164" s="74">
        <f>IF(N164="","",IF(N164&gt;0,"WIN",IF(N164&lt;0,"LOSS","FLAT")))</f>
        <v/>
      </c>
      <c r="AC164" s="98">
        <f>IF(N164="","",N164-IF(Z164="",0,Z164))</f>
        <v/>
      </c>
    </row>
    <row r="165" ht="15" customHeight="1" s="75">
      <c r="A165" s="74">
        <f>IF(B165="","",ROW()-1)</f>
        <v/>
      </c>
      <c r="N165" s="98">
        <f>IF(OR(K165="",G165="",J165=""),"",IF(E165="LONG",(K165-G165)*J165,(G165-K165)*J165))</f>
        <v/>
      </c>
      <c r="O165" s="99">
        <f>IF(OR(K165="",G165="",G165=0),"",IF(E165="LONG",(K165-G165)/G165,(G165-K165)/G165))</f>
        <v/>
      </c>
      <c r="P165" s="100">
        <f>IF(OR(N165="",H165="",G165="",ABS(G165-H165)=0),"",N165/(ABS(G165-H165)*J165))</f>
        <v/>
      </c>
      <c r="Q165" s="74">
        <f>IF(N165="","",IF(N165&gt;0,"WIN",IF(N165&lt;0,"LOSS","FLAT")))</f>
        <v/>
      </c>
      <c r="AC165" s="98">
        <f>IF(N165="","",N165-IF(Z165="",0,Z165))</f>
        <v/>
      </c>
    </row>
    <row r="166" ht="15" customHeight="1" s="75">
      <c r="A166" s="74">
        <f>IF(B166="","",ROW()-1)</f>
        <v/>
      </c>
      <c r="N166" s="98">
        <f>IF(OR(K166="",G166="",J166=""),"",IF(E166="LONG",(K166-G166)*J166,(G166-K166)*J166))</f>
        <v/>
      </c>
      <c r="O166" s="99">
        <f>IF(OR(K166="",G166="",G166=0),"",IF(E166="LONG",(K166-G166)/G166,(G166-K166)/G166))</f>
        <v/>
      </c>
      <c r="P166" s="100">
        <f>IF(OR(N166="",H166="",G166="",ABS(G166-H166)=0),"",N166/(ABS(G166-H166)*J166))</f>
        <v/>
      </c>
      <c r="Q166" s="74">
        <f>IF(N166="","",IF(N166&gt;0,"WIN",IF(N166&lt;0,"LOSS","FLAT")))</f>
        <v/>
      </c>
      <c r="AC166" s="98">
        <f>IF(N166="","",N166-IF(Z166="",0,Z166))</f>
        <v/>
      </c>
    </row>
    <row r="167" ht="15" customHeight="1" s="75">
      <c r="A167" s="74">
        <f>IF(B167="","",ROW()-1)</f>
        <v/>
      </c>
      <c r="N167" s="98">
        <f>IF(OR(K167="",G167="",J167=""),"",IF(E167="LONG",(K167-G167)*J167,(G167-K167)*J167))</f>
        <v/>
      </c>
      <c r="O167" s="99">
        <f>IF(OR(K167="",G167="",G167=0),"",IF(E167="LONG",(K167-G167)/G167,(G167-K167)/G167))</f>
        <v/>
      </c>
      <c r="P167" s="100">
        <f>IF(OR(N167="",H167="",G167="",ABS(G167-H167)=0),"",N167/(ABS(G167-H167)*J167))</f>
        <v/>
      </c>
      <c r="Q167" s="74">
        <f>IF(N167="","",IF(N167&gt;0,"WIN",IF(N167&lt;0,"LOSS","FLAT")))</f>
        <v/>
      </c>
      <c r="AC167" s="98">
        <f>IF(N167="","",N167-IF(Z167="",0,Z167))</f>
        <v/>
      </c>
    </row>
    <row r="168" ht="15" customHeight="1" s="75">
      <c r="A168" s="74">
        <f>IF(B168="","",ROW()-1)</f>
        <v/>
      </c>
      <c r="N168" s="98">
        <f>IF(OR(K168="",G168="",J168=""),"",IF(E168="LONG",(K168-G168)*J168,(G168-K168)*J168))</f>
        <v/>
      </c>
      <c r="O168" s="99">
        <f>IF(OR(K168="",G168="",G168=0),"",IF(E168="LONG",(K168-G168)/G168,(G168-K168)/G168))</f>
        <v/>
      </c>
      <c r="P168" s="100">
        <f>IF(OR(N168="",H168="",G168="",ABS(G168-H168)=0),"",N168/(ABS(G168-H168)*J168))</f>
        <v/>
      </c>
      <c r="Q168" s="74">
        <f>IF(N168="","",IF(N168&gt;0,"WIN",IF(N168&lt;0,"LOSS","FLAT")))</f>
        <v/>
      </c>
      <c r="AC168" s="98">
        <f>IF(N168="","",N168-IF(Z168="",0,Z168))</f>
        <v/>
      </c>
    </row>
    <row r="169" ht="15" customHeight="1" s="75">
      <c r="A169" s="74">
        <f>IF(B169="","",ROW()-1)</f>
        <v/>
      </c>
      <c r="N169" s="98">
        <f>IF(OR(K169="",G169="",J169=""),"",IF(E169="LONG",(K169-G169)*J169,(G169-K169)*J169))</f>
        <v/>
      </c>
      <c r="O169" s="99">
        <f>IF(OR(K169="",G169="",G169=0),"",IF(E169="LONG",(K169-G169)/G169,(G169-K169)/G169))</f>
        <v/>
      </c>
      <c r="P169" s="100">
        <f>IF(OR(N169="",H169="",G169="",ABS(G169-H169)=0),"",N169/(ABS(G169-H169)*J169))</f>
        <v/>
      </c>
      <c r="Q169" s="74">
        <f>IF(N169="","",IF(N169&gt;0,"WIN",IF(N169&lt;0,"LOSS","FLAT")))</f>
        <v/>
      </c>
      <c r="AC169" s="98">
        <f>IF(N169="","",N169-IF(Z169="",0,Z169))</f>
        <v/>
      </c>
    </row>
    <row r="170" ht="15" customHeight="1" s="75">
      <c r="A170" s="74">
        <f>IF(B170="","",ROW()-1)</f>
        <v/>
      </c>
      <c r="N170" s="98">
        <f>IF(OR(K170="",G170="",J170=""),"",IF(E170="LONG",(K170-G170)*J170,(G170-K170)*J170))</f>
        <v/>
      </c>
      <c r="O170" s="99">
        <f>IF(OR(K170="",G170="",G170=0),"",IF(E170="LONG",(K170-G170)/G170,(G170-K170)/G170))</f>
        <v/>
      </c>
      <c r="P170" s="100">
        <f>IF(OR(N170="",H170="",G170="",ABS(G170-H170)=0),"",N170/(ABS(G170-H170)*J170))</f>
        <v/>
      </c>
      <c r="Q170" s="74">
        <f>IF(N170="","",IF(N170&gt;0,"WIN",IF(N170&lt;0,"LOSS","FLAT")))</f>
        <v/>
      </c>
      <c r="AC170" s="98">
        <f>IF(N170="","",N170-IF(Z170="",0,Z170))</f>
        <v/>
      </c>
    </row>
    <row r="171" ht="15" customHeight="1" s="75">
      <c r="A171" s="74">
        <f>IF(B171="","",ROW()-1)</f>
        <v/>
      </c>
      <c r="N171" s="98">
        <f>IF(OR(K171="",G171="",J171=""),"",IF(E171="LONG",(K171-G171)*J171,(G171-K171)*J171))</f>
        <v/>
      </c>
      <c r="O171" s="99">
        <f>IF(OR(K171="",G171="",G171=0),"",IF(E171="LONG",(K171-G171)/G171,(G171-K171)/G171))</f>
        <v/>
      </c>
      <c r="P171" s="100">
        <f>IF(OR(N171="",H171="",G171="",ABS(G171-H171)=0),"",N171/(ABS(G171-H171)*J171))</f>
        <v/>
      </c>
      <c r="Q171" s="74">
        <f>IF(N171="","",IF(N171&gt;0,"WIN",IF(N171&lt;0,"LOSS","FLAT")))</f>
        <v/>
      </c>
      <c r="AC171" s="98">
        <f>IF(N171="","",N171-IF(Z171="",0,Z171))</f>
        <v/>
      </c>
    </row>
    <row r="172" ht="15" customHeight="1" s="75">
      <c r="A172" s="74">
        <f>IF(B172="","",ROW()-1)</f>
        <v/>
      </c>
      <c r="N172" s="98">
        <f>IF(OR(K172="",G172="",J172=""),"",IF(E172="LONG",(K172-G172)*J172,(G172-K172)*J172))</f>
        <v/>
      </c>
      <c r="O172" s="99">
        <f>IF(OR(K172="",G172="",G172=0),"",IF(E172="LONG",(K172-G172)/G172,(G172-K172)/G172))</f>
        <v/>
      </c>
      <c r="P172" s="100">
        <f>IF(OR(N172="",H172="",G172="",ABS(G172-H172)=0),"",N172/(ABS(G172-H172)*J172))</f>
        <v/>
      </c>
      <c r="Q172" s="74">
        <f>IF(N172="","",IF(N172&gt;0,"WIN",IF(N172&lt;0,"LOSS","FLAT")))</f>
        <v/>
      </c>
      <c r="AC172" s="98">
        <f>IF(N172="","",N172-IF(Z172="",0,Z172))</f>
        <v/>
      </c>
    </row>
    <row r="173" ht="15" customHeight="1" s="75">
      <c r="A173" s="74">
        <f>IF(B173="","",ROW()-1)</f>
        <v/>
      </c>
      <c r="N173" s="98">
        <f>IF(OR(K173="",G173="",J173=""),"",IF(E173="LONG",(K173-G173)*J173,(G173-K173)*J173))</f>
        <v/>
      </c>
      <c r="O173" s="99">
        <f>IF(OR(K173="",G173="",G173=0),"",IF(E173="LONG",(K173-G173)/G173,(G173-K173)/G173))</f>
        <v/>
      </c>
      <c r="P173" s="100">
        <f>IF(OR(N173="",H173="",G173="",ABS(G173-H173)=0),"",N173/(ABS(G173-H173)*J173))</f>
        <v/>
      </c>
      <c r="Q173" s="74">
        <f>IF(N173="","",IF(N173&gt;0,"WIN",IF(N173&lt;0,"LOSS","FLAT")))</f>
        <v/>
      </c>
      <c r="AC173" s="98">
        <f>IF(N173="","",N173-IF(Z173="",0,Z173))</f>
        <v/>
      </c>
    </row>
    <row r="174" ht="15" customHeight="1" s="75">
      <c r="A174" s="74">
        <f>IF(B174="","",ROW()-1)</f>
        <v/>
      </c>
      <c r="N174" s="98">
        <f>IF(OR(K174="",G174="",J174=""),"",IF(E174="LONG",(K174-G174)*J174,(G174-K174)*J174))</f>
        <v/>
      </c>
      <c r="O174" s="99">
        <f>IF(OR(K174="",G174="",G174=0),"",IF(E174="LONG",(K174-G174)/G174,(G174-K174)/G174))</f>
        <v/>
      </c>
      <c r="P174" s="100">
        <f>IF(OR(N174="",H174="",G174="",ABS(G174-H174)=0),"",N174/(ABS(G174-H174)*J174))</f>
        <v/>
      </c>
      <c r="Q174" s="74">
        <f>IF(N174="","",IF(N174&gt;0,"WIN",IF(N174&lt;0,"LOSS","FLAT")))</f>
        <v/>
      </c>
      <c r="AC174" s="98">
        <f>IF(N174="","",N174-IF(Z174="",0,Z174))</f>
        <v/>
      </c>
    </row>
    <row r="175" ht="15" customHeight="1" s="75">
      <c r="A175" s="74">
        <f>IF(B175="","",ROW()-1)</f>
        <v/>
      </c>
      <c r="N175" s="98">
        <f>IF(OR(K175="",G175="",J175=""),"",IF(E175="LONG",(K175-G175)*J175,(G175-K175)*J175))</f>
        <v/>
      </c>
      <c r="O175" s="99">
        <f>IF(OR(K175="",G175="",G175=0),"",IF(E175="LONG",(K175-G175)/G175,(G175-K175)/G175))</f>
        <v/>
      </c>
      <c r="P175" s="100">
        <f>IF(OR(N175="",H175="",G175="",ABS(G175-H175)=0),"",N175/(ABS(G175-H175)*J175))</f>
        <v/>
      </c>
      <c r="Q175" s="74">
        <f>IF(N175="","",IF(N175&gt;0,"WIN",IF(N175&lt;0,"LOSS","FLAT")))</f>
        <v/>
      </c>
      <c r="AC175" s="98">
        <f>IF(N175="","",N175-IF(Z175="",0,Z175))</f>
        <v/>
      </c>
    </row>
    <row r="176" ht="15" customHeight="1" s="75">
      <c r="A176" s="74">
        <f>IF(B176="","",ROW()-1)</f>
        <v/>
      </c>
      <c r="N176" s="98">
        <f>IF(OR(K176="",G176="",J176=""),"",IF(E176="LONG",(K176-G176)*J176,(G176-K176)*J176))</f>
        <v/>
      </c>
      <c r="O176" s="99">
        <f>IF(OR(K176="",G176="",G176=0),"",IF(E176="LONG",(K176-G176)/G176,(G176-K176)/G176))</f>
        <v/>
      </c>
      <c r="P176" s="100">
        <f>IF(OR(N176="",H176="",G176="",ABS(G176-H176)=0),"",N176/(ABS(G176-H176)*J176))</f>
        <v/>
      </c>
      <c r="Q176" s="74">
        <f>IF(N176="","",IF(N176&gt;0,"WIN",IF(N176&lt;0,"LOSS","FLAT")))</f>
        <v/>
      </c>
      <c r="AC176" s="98">
        <f>IF(N176="","",N176-IF(Z176="",0,Z176))</f>
        <v/>
      </c>
    </row>
    <row r="177" ht="15" customHeight="1" s="75">
      <c r="A177" s="74">
        <f>IF(B177="","",ROW()-1)</f>
        <v/>
      </c>
      <c r="N177" s="98">
        <f>IF(OR(K177="",G177="",J177=""),"",IF(E177="LONG",(K177-G177)*J177,(G177-K177)*J177))</f>
        <v/>
      </c>
      <c r="O177" s="99">
        <f>IF(OR(K177="",G177="",G177=0),"",IF(E177="LONG",(K177-G177)/G177,(G177-K177)/G177))</f>
        <v/>
      </c>
      <c r="P177" s="100">
        <f>IF(OR(N177="",H177="",G177="",ABS(G177-H177)=0),"",N177/(ABS(G177-H177)*J177))</f>
        <v/>
      </c>
      <c r="Q177" s="74">
        <f>IF(N177="","",IF(N177&gt;0,"WIN",IF(N177&lt;0,"LOSS","FLAT")))</f>
        <v/>
      </c>
      <c r="AC177" s="98">
        <f>IF(N177="","",N177-IF(Z177="",0,Z177))</f>
        <v/>
      </c>
    </row>
    <row r="178" ht="15" customHeight="1" s="75">
      <c r="A178" s="74">
        <f>IF(B178="","",ROW()-1)</f>
        <v/>
      </c>
      <c r="N178" s="98">
        <f>IF(OR(K178="",G178="",J178=""),"",IF(E178="LONG",(K178-G178)*J178,(G178-K178)*J178))</f>
        <v/>
      </c>
      <c r="O178" s="99">
        <f>IF(OR(K178="",G178="",G178=0),"",IF(E178="LONG",(K178-G178)/G178,(G178-K178)/G178))</f>
        <v/>
      </c>
      <c r="P178" s="100">
        <f>IF(OR(N178="",H178="",G178="",ABS(G178-H178)=0),"",N178/(ABS(G178-H178)*J178))</f>
        <v/>
      </c>
      <c r="Q178" s="74">
        <f>IF(N178="","",IF(N178&gt;0,"WIN",IF(N178&lt;0,"LOSS","FLAT")))</f>
        <v/>
      </c>
      <c r="AC178" s="98">
        <f>IF(N178="","",N178-IF(Z178="",0,Z178))</f>
        <v/>
      </c>
    </row>
    <row r="179" ht="15" customHeight="1" s="75">
      <c r="A179" s="74">
        <f>IF(B179="","",ROW()-1)</f>
        <v/>
      </c>
      <c r="N179" s="98">
        <f>IF(OR(K179="",G179="",J179=""),"",IF(E179="LONG",(K179-G179)*J179,(G179-K179)*J179))</f>
        <v/>
      </c>
      <c r="O179" s="99">
        <f>IF(OR(K179="",G179="",G179=0),"",IF(E179="LONG",(K179-G179)/G179,(G179-K179)/G179))</f>
        <v/>
      </c>
      <c r="P179" s="100">
        <f>IF(OR(N179="",H179="",G179="",ABS(G179-H179)=0),"",N179/(ABS(G179-H179)*J179))</f>
        <v/>
      </c>
      <c r="Q179" s="74">
        <f>IF(N179="","",IF(N179&gt;0,"WIN",IF(N179&lt;0,"LOSS","FLAT")))</f>
        <v/>
      </c>
      <c r="AC179" s="98">
        <f>IF(N179="","",N179-IF(Z179="",0,Z179))</f>
        <v/>
      </c>
    </row>
    <row r="180" ht="15" customHeight="1" s="75">
      <c r="A180" s="74">
        <f>IF(B180="","",ROW()-1)</f>
        <v/>
      </c>
      <c r="N180" s="98">
        <f>IF(OR(K180="",G180="",J180=""),"",IF(E180="LONG",(K180-G180)*J180,(G180-K180)*J180))</f>
        <v/>
      </c>
      <c r="O180" s="99">
        <f>IF(OR(K180="",G180="",G180=0),"",IF(E180="LONG",(K180-G180)/G180,(G180-K180)/G180))</f>
        <v/>
      </c>
      <c r="P180" s="100">
        <f>IF(OR(N180="",H180="",G180="",ABS(G180-H180)=0),"",N180/(ABS(G180-H180)*J180))</f>
        <v/>
      </c>
      <c r="Q180" s="74">
        <f>IF(N180="","",IF(N180&gt;0,"WIN",IF(N180&lt;0,"LOSS","FLAT")))</f>
        <v/>
      </c>
      <c r="AC180" s="98">
        <f>IF(N180="","",N180-IF(Z180="",0,Z180))</f>
        <v/>
      </c>
    </row>
    <row r="181" ht="15" customHeight="1" s="75">
      <c r="A181" s="74">
        <f>IF(B181="","",ROW()-1)</f>
        <v/>
      </c>
      <c r="N181" s="98">
        <f>IF(OR(K181="",G181="",J181=""),"",IF(E181="LONG",(K181-G181)*J181,(G181-K181)*J181))</f>
        <v/>
      </c>
      <c r="O181" s="99">
        <f>IF(OR(K181="",G181="",G181=0),"",IF(E181="LONG",(K181-G181)/G181,(G181-K181)/G181))</f>
        <v/>
      </c>
      <c r="P181" s="100">
        <f>IF(OR(N181="",H181="",G181="",ABS(G181-H181)=0),"",N181/(ABS(G181-H181)*J181))</f>
        <v/>
      </c>
      <c r="Q181" s="74">
        <f>IF(N181="","",IF(N181&gt;0,"WIN",IF(N181&lt;0,"LOSS","FLAT")))</f>
        <v/>
      </c>
      <c r="AC181" s="98">
        <f>IF(N181="","",N181-IF(Z181="",0,Z181))</f>
        <v/>
      </c>
    </row>
    <row r="182" ht="15" customHeight="1" s="75">
      <c r="A182" s="74">
        <f>IF(B182="","",ROW()-1)</f>
        <v/>
      </c>
      <c r="N182" s="98">
        <f>IF(OR(K182="",G182="",J182=""),"",IF(E182="LONG",(K182-G182)*J182,(G182-K182)*J182))</f>
        <v/>
      </c>
      <c r="O182" s="99">
        <f>IF(OR(K182="",G182="",G182=0),"",IF(E182="LONG",(K182-G182)/G182,(G182-K182)/G182))</f>
        <v/>
      </c>
      <c r="P182" s="100">
        <f>IF(OR(N182="",H182="",G182="",ABS(G182-H182)=0),"",N182/(ABS(G182-H182)*J182))</f>
        <v/>
      </c>
      <c r="Q182" s="74">
        <f>IF(N182="","",IF(N182&gt;0,"WIN",IF(N182&lt;0,"LOSS","FLAT")))</f>
        <v/>
      </c>
      <c r="AC182" s="98">
        <f>IF(N182="","",N182-IF(Z182="",0,Z182))</f>
        <v/>
      </c>
    </row>
    <row r="183" ht="15" customHeight="1" s="75">
      <c r="A183" s="74">
        <f>IF(B183="","",ROW()-1)</f>
        <v/>
      </c>
      <c r="N183" s="98">
        <f>IF(OR(K183="",G183="",J183=""),"",IF(E183="LONG",(K183-G183)*J183,(G183-K183)*J183))</f>
        <v/>
      </c>
      <c r="O183" s="99">
        <f>IF(OR(K183="",G183="",G183=0),"",IF(E183="LONG",(K183-G183)/G183,(G183-K183)/G183))</f>
        <v/>
      </c>
      <c r="P183" s="100">
        <f>IF(OR(N183="",H183="",G183="",ABS(G183-H183)=0),"",N183/(ABS(G183-H183)*J183))</f>
        <v/>
      </c>
      <c r="Q183" s="74">
        <f>IF(N183="","",IF(N183&gt;0,"WIN",IF(N183&lt;0,"LOSS","FLAT")))</f>
        <v/>
      </c>
      <c r="AC183" s="98">
        <f>IF(N183="","",N183-IF(Z183="",0,Z183))</f>
        <v/>
      </c>
    </row>
    <row r="184" ht="15" customHeight="1" s="75">
      <c r="A184" s="74">
        <f>IF(B184="","",ROW()-1)</f>
        <v/>
      </c>
      <c r="N184" s="98">
        <f>IF(OR(K184="",G184="",J184=""),"",IF(E184="LONG",(K184-G184)*J184,(G184-K184)*J184))</f>
        <v/>
      </c>
      <c r="O184" s="99">
        <f>IF(OR(K184="",G184="",G184=0),"",IF(E184="LONG",(K184-G184)/G184,(G184-K184)/G184))</f>
        <v/>
      </c>
      <c r="P184" s="100">
        <f>IF(OR(N184="",H184="",G184="",ABS(G184-H184)=0),"",N184/(ABS(G184-H184)*J184))</f>
        <v/>
      </c>
      <c r="Q184" s="74">
        <f>IF(N184="","",IF(N184&gt;0,"WIN",IF(N184&lt;0,"LOSS","FLAT")))</f>
        <v/>
      </c>
      <c r="AC184" s="98">
        <f>IF(N184="","",N184-IF(Z184="",0,Z184))</f>
        <v/>
      </c>
    </row>
    <row r="185" ht="15" customHeight="1" s="75">
      <c r="A185" s="74">
        <f>IF(B185="","",ROW()-1)</f>
        <v/>
      </c>
      <c r="N185" s="98">
        <f>IF(OR(K185="",G185="",J185=""),"",IF(E185="LONG",(K185-G185)*J185,(G185-K185)*J185))</f>
        <v/>
      </c>
      <c r="O185" s="99">
        <f>IF(OR(K185="",G185="",G185=0),"",IF(E185="LONG",(K185-G185)/G185,(G185-K185)/G185))</f>
        <v/>
      </c>
      <c r="P185" s="100">
        <f>IF(OR(N185="",H185="",G185="",ABS(G185-H185)=0),"",N185/(ABS(G185-H185)*J185))</f>
        <v/>
      </c>
      <c r="Q185" s="74">
        <f>IF(N185="","",IF(N185&gt;0,"WIN",IF(N185&lt;0,"LOSS","FLAT")))</f>
        <v/>
      </c>
      <c r="AC185" s="98">
        <f>IF(N185="","",N185-IF(Z185="",0,Z185))</f>
        <v/>
      </c>
    </row>
    <row r="186" ht="15" customHeight="1" s="75">
      <c r="A186" s="74">
        <f>IF(B186="","",ROW()-1)</f>
        <v/>
      </c>
      <c r="N186" s="98">
        <f>IF(OR(K186="",G186="",J186=""),"",IF(E186="LONG",(K186-G186)*J186,(G186-K186)*J186))</f>
        <v/>
      </c>
      <c r="O186" s="99">
        <f>IF(OR(K186="",G186="",G186=0),"",IF(E186="LONG",(K186-G186)/G186,(G186-K186)/G186))</f>
        <v/>
      </c>
      <c r="P186" s="100">
        <f>IF(OR(N186="",H186="",G186="",ABS(G186-H186)=0),"",N186/(ABS(G186-H186)*J186))</f>
        <v/>
      </c>
      <c r="Q186" s="74">
        <f>IF(N186="","",IF(N186&gt;0,"WIN",IF(N186&lt;0,"LOSS","FLAT")))</f>
        <v/>
      </c>
      <c r="AC186" s="98">
        <f>IF(N186="","",N186-IF(Z186="",0,Z186))</f>
        <v/>
      </c>
    </row>
    <row r="187" ht="15" customHeight="1" s="75">
      <c r="A187" s="74">
        <f>IF(B187="","",ROW()-1)</f>
        <v/>
      </c>
      <c r="N187" s="98">
        <f>IF(OR(K187="",G187="",J187=""),"",IF(E187="LONG",(K187-G187)*J187,(G187-K187)*J187))</f>
        <v/>
      </c>
      <c r="O187" s="99">
        <f>IF(OR(K187="",G187="",G187=0),"",IF(E187="LONG",(K187-G187)/G187,(G187-K187)/G187))</f>
        <v/>
      </c>
      <c r="P187" s="100">
        <f>IF(OR(N187="",H187="",G187="",ABS(G187-H187)=0),"",N187/(ABS(G187-H187)*J187))</f>
        <v/>
      </c>
      <c r="Q187" s="74">
        <f>IF(N187="","",IF(N187&gt;0,"WIN",IF(N187&lt;0,"LOSS","FLAT")))</f>
        <v/>
      </c>
      <c r="AC187" s="98">
        <f>IF(N187="","",N187-IF(Z187="",0,Z187))</f>
        <v/>
      </c>
    </row>
    <row r="188" ht="15" customHeight="1" s="75">
      <c r="A188" s="74">
        <f>IF(B188="","",ROW()-1)</f>
        <v/>
      </c>
      <c r="N188" s="98">
        <f>IF(OR(K188="",G188="",J188=""),"",IF(E188="LONG",(K188-G188)*J188,(G188-K188)*J188))</f>
        <v/>
      </c>
      <c r="O188" s="99">
        <f>IF(OR(K188="",G188="",G188=0),"",IF(E188="LONG",(K188-G188)/G188,(G188-K188)/G188))</f>
        <v/>
      </c>
      <c r="P188" s="100">
        <f>IF(OR(N188="",H188="",G188="",ABS(G188-H188)=0),"",N188/(ABS(G188-H188)*J188))</f>
        <v/>
      </c>
      <c r="Q188" s="74">
        <f>IF(N188="","",IF(N188&gt;0,"WIN",IF(N188&lt;0,"LOSS","FLAT")))</f>
        <v/>
      </c>
      <c r="AC188" s="98">
        <f>IF(N188="","",N188-IF(Z188="",0,Z188))</f>
        <v/>
      </c>
    </row>
    <row r="189" ht="15" customHeight="1" s="75">
      <c r="A189" s="74">
        <f>IF(B189="","",ROW()-1)</f>
        <v/>
      </c>
      <c r="N189" s="98">
        <f>IF(OR(K189="",G189="",J189=""),"",IF(E189="LONG",(K189-G189)*J189,(G189-K189)*J189))</f>
        <v/>
      </c>
      <c r="O189" s="99">
        <f>IF(OR(K189="",G189="",G189=0),"",IF(E189="LONG",(K189-G189)/G189,(G189-K189)/G189))</f>
        <v/>
      </c>
      <c r="P189" s="100">
        <f>IF(OR(N189="",H189="",G189="",ABS(G189-H189)=0),"",N189/(ABS(G189-H189)*J189))</f>
        <v/>
      </c>
      <c r="Q189" s="74">
        <f>IF(N189="","",IF(N189&gt;0,"WIN",IF(N189&lt;0,"LOSS","FLAT")))</f>
        <v/>
      </c>
      <c r="AC189" s="98">
        <f>IF(N189="","",N189-IF(Z189="",0,Z189))</f>
        <v/>
      </c>
    </row>
    <row r="190" ht="15" customHeight="1" s="75">
      <c r="A190" s="74">
        <f>IF(B190="","",ROW()-1)</f>
        <v/>
      </c>
      <c r="N190" s="98">
        <f>IF(OR(K190="",G190="",J190=""),"",IF(E190="LONG",(K190-G190)*J190,(G190-K190)*J190))</f>
        <v/>
      </c>
      <c r="O190" s="99">
        <f>IF(OR(K190="",G190="",G190=0),"",IF(E190="LONG",(K190-G190)/G190,(G190-K190)/G190))</f>
        <v/>
      </c>
      <c r="P190" s="100">
        <f>IF(OR(N190="",H190="",G190="",ABS(G190-H190)=0),"",N190/(ABS(G190-H190)*J190))</f>
        <v/>
      </c>
      <c r="Q190" s="74">
        <f>IF(N190="","",IF(N190&gt;0,"WIN",IF(N190&lt;0,"LOSS","FLAT")))</f>
        <v/>
      </c>
      <c r="AC190" s="98">
        <f>IF(N190="","",N190-IF(Z190="",0,Z190))</f>
        <v/>
      </c>
    </row>
    <row r="191" ht="15" customHeight="1" s="75">
      <c r="A191" s="74">
        <f>IF(B191="","",ROW()-1)</f>
        <v/>
      </c>
      <c r="N191" s="98">
        <f>IF(OR(K191="",G191="",J191=""),"",IF(E191="LONG",(K191-G191)*J191,(G191-K191)*J191))</f>
        <v/>
      </c>
      <c r="O191" s="99">
        <f>IF(OR(K191="",G191="",G191=0),"",IF(E191="LONG",(K191-G191)/G191,(G191-K191)/G191))</f>
        <v/>
      </c>
      <c r="P191" s="100">
        <f>IF(OR(N191="",H191="",G191="",ABS(G191-H191)=0),"",N191/(ABS(G191-H191)*J191))</f>
        <v/>
      </c>
      <c r="Q191" s="74">
        <f>IF(N191="","",IF(N191&gt;0,"WIN",IF(N191&lt;0,"LOSS","FLAT")))</f>
        <v/>
      </c>
      <c r="AC191" s="98">
        <f>IF(N191="","",N191-IF(Z191="",0,Z191))</f>
        <v/>
      </c>
    </row>
    <row r="192" ht="15" customHeight="1" s="75">
      <c r="A192" s="74">
        <f>IF(B192="","",ROW()-1)</f>
        <v/>
      </c>
      <c r="N192" s="98">
        <f>IF(OR(K192="",G192="",J192=""),"",IF(E192="LONG",(K192-G192)*J192,(G192-K192)*J192))</f>
        <v/>
      </c>
      <c r="O192" s="99">
        <f>IF(OR(K192="",G192="",G192=0),"",IF(E192="LONG",(K192-G192)/G192,(G192-K192)/G192))</f>
        <v/>
      </c>
      <c r="P192" s="100">
        <f>IF(OR(N192="",H192="",G192="",ABS(G192-H192)=0),"",N192/(ABS(G192-H192)*J192))</f>
        <v/>
      </c>
      <c r="Q192" s="74">
        <f>IF(N192="","",IF(N192&gt;0,"WIN",IF(N192&lt;0,"LOSS","FLAT")))</f>
        <v/>
      </c>
      <c r="AC192" s="98">
        <f>IF(N192="","",N192-IF(Z192="",0,Z192))</f>
        <v/>
      </c>
    </row>
    <row r="193" ht="15" customHeight="1" s="75">
      <c r="A193" s="74">
        <f>IF(B193="","",ROW()-1)</f>
        <v/>
      </c>
      <c r="N193" s="98">
        <f>IF(OR(K193="",G193="",J193=""),"",IF(E193="LONG",(K193-G193)*J193,(G193-K193)*J193))</f>
        <v/>
      </c>
      <c r="O193" s="99">
        <f>IF(OR(K193="",G193="",G193=0),"",IF(E193="LONG",(K193-G193)/G193,(G193-K193)/G193))</f>
        <v/>
      </c>
      <c r="P193" s="100">
        <f>IF(OR(N193="",H193="",G193="",ABS(G193-H193)=0),"",N193/(ABS(G193-H193)*J193))</f>
        <v/>
      </c>
      <c r="Q193" s="74">
        <f>IF(N193="","",IF(N193&gt;0,"WIN",IF(N193&lt;0,"LOSS","FLAT")))</f>
        <v/>
      </c>
      <c r="AC193" s="98">
        <f>IF(N193="","",N193-IF(Z193="",0,Z193))</f>
        <v/>
      </c>
    </row>
    <row r="194" ht="15" customHeight="1" s="75">
      <c r="A194" s="74">
        <f>IF(B194="","",ROW()-1)</f>
        <v/>
      </c>
      <c r="N194" s="98">
        <f>IF(OR(K194="",G194="",J194=""),"",IF(E194="LONG",(K194-G194)*J194,(G194-K194)*J194))</f>
        <v/>
      </c>
      <c r="O194" s="99">
        <f>IF(OR(K194="",G194="",G194=0),"",IF(E194="LONG",(K194-G194)/G194,(G194-K194)/G194))</f>
        <v/>
      </c>
      <c r="P194" s="100">
        <f>IF(OR(N194="",H194="",G194="",ABS(G194-H194)=0),"",N194/(ABS(G194-H194)*J194))</f>
        <v/>
      </c>
      <c r="Q194" s="74">
        <f>IF(N194="","",IF(N194&gt;0,"WIN",IF(N194&lt;0,"LOSS","FLAT")))</f>
        <v/>
      </c>
      <c r="AC194" s="98">
        <f>IF(N194="","",N194-IF(Z194="",0,Z194))</f>
        <v/>
      </c>
    </row>
    <row r="195" ht="15" customHeight="1" s="75">
      <c r="A195" s="74">
        <f>IF(B195="","",ROW()-1)</f>
        <v/>
      </c>
      <c r="N195" s="98">
        <f>IF(OR(K195="",G195="",J195=""),"",IF(E195="LONG",(K195-G195)*J195,(G195-K195)*J195))</f>
        <v/>
      </c>
      <c r="O195" s="99">
        <f>IF(OR(K195="",G195="",G195=0),"",IF(E195="LONG",(K195-G195)/G195,(G195-K195)/G195))</f>
        <v/>
      </c>
      <c r="P195" s="100">
        <f>IF(OR(N195="",H195="",G195="",ABS(G195-H195)=0),"",N195/(ABS(G195-H195)*J195))</f>
        <v/>
      </c>
      <c r="Q195" s="74">
        <f>IF(N195="","",IF(N195&gt;0,"WIN",IF(N195&lt;0,"LOSS","FLAT")))</f>
        <v/>
      </c>
      <c r="AC195" s="98">
        <f>IF(N195="","",N195-IF(Z195="",0,Z195))</f>
        <v/>
      </c>
    </row>
    <row r="196" ht="15" customHeight="1" s="75">
      <c r="A196" s="74">
        <f>IF(B196="","",ROW()-1)</f>
        <v/>
      </c>
      <c r="N196" s="98">
        <f>IF(OR(K196="",G196="",J196=""),"",IF(E196="LONG",(K196-G196)*J196,(G196-K196)*J196))</f>
        <v/>
      </c>
      <c r="O196" s="99">
        <f>IF(OR(K196="",G196="",G196=0),"",IF(E196="LONG",(K196-G196)/G196,(G196-K196)/G196))</f>
        <v/>
      </c>
      <c r="P196" s="100">
        <f>IF(OR(N196="",H196="",G196="",ABS(G196-H196)=0),"",N196/(ABS(G196-H196)*J196))</f>
        <v/>
      </c>
      <c r="Q196" s="74">
        <f>IF(N196="","",IF(N196&gt;0,"WIN",IF(N196&lt;0,"LOSS","FLAT")))</f>
        <v/>
      </c>
      <c r="AC196" s="98">
        <f>IF(N196="","",N196-IF(Z196="",0,Z196))</f>
        <v/>
      </c>
    </row>
    <row r="197" ht="15" customHeight="1" s="75">
      <c r="A197" s="74">
        <f>IF(B197="","",ROW()-1)</f>
        <v/>
      </c>
      <c r="N197" s="98">
        <f>IF(OR(K197="",G197="",J197=""),"",IF(E197="LONG",(K197-G197)*J197,(G197-K197)*J197))</f>
        <v/>
      </c>
      <c r="O197" s="99">
        <f>IF(OR(K197="",G197="",G197=0),"",IF(E197="LONG",(K197-G197)/G197,(G197-K197)/G197))</f>
        <v/>
      </c>
      <c r="P197" s="100">
        <f>IF(OR(N197="",H197="",G197="",ABS(G197-H197)=0),"",N197/(ABS(G197-H197)*J197))</f>
        <v/>
      </c>
      <c r="Q197" s="74">
        <f>IF(N197="","",IF(N197&gt;0,"WIN",IF(N197&lt;0,"LOSS","FLAT")))</f>
        <v/>
      </c>
      <c r="AC197" s="98">
        <f>IF(N197="","",N197-IF(Z197="",0,Z197))</f>
        <v/>
      </c>
    </row>
    <row r="198" ht="15" customHeight="1" s="75">
      <c r="A198" s="74">
        <f>IF(B198="","",ROW()-1)</f>
        <v/>
      </c>
      <c r="N198" s="98">
        <f>IF(OR(K198="",G198="",J198=""),"",IF(E198="LONG",(K198-G198)*J198,(G198-K198)*J198))</f>
        <v/>
      </c>
      <c r="O198" s="99">
        <f>IF(OR(K198="",G198="",G198=0),"",IF(E198="LONG",(K198-G198)/G198,(G198-K198)/G198))</f>
        <v/>
      </c>
      <c r="P198" s="100">
        <f>IF(OR(N198="",H198="",G198="",ABS(G198-H198)=0),"",N198/(ABS(G198-H198)*J198))</f>
        <v/>
      </c>
      <c r="Q198" s="74">
        <f>IF(N198="","",IF(N198&gt;0,"WIN",IF(N198&lt;0,"LOSS","FLAT")))</f>
        <v/>
      </c>
      <c r="AC198" s="98">
        <f>IF(N198="","",N198-IF(Z198="",0,Z198))</f>
        <v/>
      </c>
    </row>
    <row r="199" ht="15" customHeight="1" s="75">
      <c r="A199" s="74">
        <f>IF(B199="","",ROW()-1)</f>
        <v/>
      </c>
      <c r="N199" s="98">
        <f>IF(OR(K199="",G199="",J199=""),"",IF(E199="LONG",(K199-G199)*J199,(G199-K199)*J199))</f>
        <v/>
      </c>
      <c r="O199" s="99">
        <f>IF(OR(K199="",G199="",G199=0),"",IF(E199="LONG",(K199-G199)/G199,(G199-K199)/G199))</f>
        <v/>
      </c>
      <c r="P199" s="100">
        <f>IF(OR(N199="",H199="",G199="",ABS(G199-H199)=0),"",N199/(ABS(G199-H199)*J199))</f>
        <v/>
      </c>
      <c r="Q199" s="74">
        <f>IF(N199="","",IF(N199&gt;0,"WIN",IF(N199&lt;0,"LOSS","FLAT")))</f>
        <v/>
      </c>
      <c r="AC199" s="98">
        <f>IF(N199="","",N199-IF(Z199="",0,Z199))</f>
        <v/>
      </c>
    </row>
    <row r="200" ht="15" customHeight="1" s="75">
      <c r="A200" s="74">
        <f>IF(B200="","",ROW()-1)</f>
        <v/>
      </c>
      <c r="N200" s="98">
        <f>IF(OR(K200="",G200="",J200=""),"",IF(E200="LONG",(K200-G200)*J200,(G200-K200)*J200))</f>
        <v/>
      </c>
      <c r="O200" s="99">
        <f>IF(OR(K200="",G200="",G200=0),"",IF(E200="LONG",(K200-G200)/G200,(G200-K200)/G200))</f>
        <v/>
      </c>
      <c r="P200" s="100">
        <f>IF(OR(N200="",H200="",G200="",ABS(G200-H200)=0),"",N200/(ABS(G200-H200)*J200))</f>
        <v/>
      </c>
      <c r="Q200" s="74">
        <f>IF(N200="","",IF(N200&gt;0,"WIN",IF(N200&lt;0,"LOSS","FLAT")))</f>
        <v/>
      </c>
      <c r="AC200" s="98">
        <f>IF(N200="","",N200-IF(Z200="",0,Z200))</f>
        <v/>
      </c>
    </row>
    <row r="201" ht="15" customHeight="1" s="75">
      <c r="A201" s="74">
        <f>IF(B201="","",ROW()-1)</f>
        <v/>
      </c>
      <c r="N201" s="98">
        <f>IF(OR(K201="",G201="",J201=""),"",IF(E201="LONG",(K201-G201)*J201,(G201-K201)*J201))</f>
        <v/>
      </c>
      <c r="O201" s="99">
        <f>IF(OR(K201="",G201="",G201=0),"",IF(E201="LONG",(K201-G201)/G201,(G201-K201)/G201))</f>
        <v/>
      </c>
      <c r="P201" s="100">
        <f>IF(OR(N201="",H201="",G201="",ABS(G201-H201)=0),"",N201/(ABS(G201-H201)*J201))</f>
        <v/>
      </c>
      <c r="Q201" s="74">
        <f>IF(N201="","",IF(N201&gt;0,"WIN",IF(N201&lt;0,"LOSS","FLAT")))</f>
        <v/>
      </c>
      <c r="AC201" s="98">
        <f>IF(N201="","",N201-IF(Z201="",0,Z201))</f>
        <v/>
      </c>
    </row>
    <row r="202" ht="15" customHeight="1" s="75">
      <c r="A202" s="74">
        <f>IF(B202="","",ROW()-1)</f>
        <v/>
      </c>
      <c r="N202" s="98">
        <f>IF(OR(K202="",G202="",J202=""),"",IF(E202="LONG",(K202-G202)*J202,(G202-K202)*J202))</f>
        <v/>
      </c>
      <c r="O202" s="99">
        <f>IF(OR(K202="",G202="",G202=0),"",IF(E202="LONG",(K202-G202)/G202,(G202-K202)/G202))</f>
        <v/>
      </c>
      <c r="P202" s="100">
        <f>IF(OR(N202="",H202="",G202="",ABS(G202-H202)=0),"",N202/(ABS(G202-H202)*J202))</f>
        <v/>
      </c>
      <c r="Q202" s="74">
        <f>IF(N202="","",IF(N202&gt;0,"WIN",IF(N202&lt;0,"LOSS","FLAT")))</f>
        <v/>
      </c>
      <c r="AC202" s="98">
        <f>IF(N202="","",N202-IF(Z202="",0,Z202))</f>
        <v/>
      </c>
    </row>
    <row r="203" ht="15" customHeight="1" s="75">
      <c r="A203" s="74">
        <f>IF(B203="","",ROW()-1)</f>
        <v/>
      </c>
      <c r="N203" s="98">
        <f>IF(OR(K203="",G203="",J203=""),"",IF(E203="LONG",(K203-G203)*J203,(G203-K203)*J203))</f>
        <v/>
      </c>
      <c r="O203" s="99">
        <f>IF(OR(K203="",G203="",G203=0),"",IF(E203="LONG",(K203-G203)/G203,(G203-K203)/G203))</f>
        <v/>
      </c>
      <c r="P203" s="100">
        <f>IF(OR(N203="",H203="",G203="",ABS(G203-H203)=0),"",N203/(ABS(G203-H203)*J203))</f>
        <v/>
      </c>
      <c r="Q203" s="74">
        <f>IF(N203="","",IF(N203&gt;0,"WIN",IF(N203&lt;0,"LOSS","FLAT")))</f>
        <v/>
      </c>
      <c r="AC203" s="98">
        <f>IF(N203="","",N203-IF(Z203="",0,Z203))</f>
        <v/>
      </c>
    </row>
    <row r="204" ht="15" customHeight="1" s="75">
      <c r="A204" s="74">
        <f>IF(B204="","",ROW()-1)</f>
        <v/>
      </c>
      <c r="N204" s="98">
        <f>IF(OR(K204="",G204="",J204=""),"",IF(E204="LONG",(K204-G204)*J204,(G204-K204)*J204))</f>
        <v/>
      </c>
      <c r="O204" s="99">
        <f>IF(OR(K204="",G204="",G204=0),"",IF(E204="LONG",(K204-G204)/G204,(G204-K204)/G204))</f>
        <v/>
      </c>
      <c r="P204" s="100">
        <f>IF(OR(N204="",H204="",G204="",ABS(G204-H204)=0),"",N204/(ABS(G204-H204)*J204))</f>
        <v/>
      </c>
      <c r="Q204" s="74">
        <f>IF(N204="","",IF(N204&gt;0,"WIN",IF(N204&lt;0,"LOSS","FLAT")))</f>
        <v/>
      </c>
      <c r="AC204" s="98">
        <f>IF(N204="","",N204-IF(Z204="",0,Z204))</f>
        <v/>
      </c>
    </row>
    <row r="205" ht="15" customHeight="1" s="75">
      <c r="A205" s="74">
        <f>IF(B205="","",ROW()-1)</f>
        <v/>
      </c>
      <c r="N205" s="98">
        <f>IF(OR(K205="",G205="",J205=""),"",IF(E205="LONG",(K205-G205)*J205,(G205-K205)*J205))</f>
        <v/>
      </c>
      <c r="O205" s="99">
        <f>IF(OR(K205="",G205="",G205=0),"",IF(E205="LONG",(K205-G205)/G205,(G205-K205)/G205))</f>
        <v/>
      </c>
      <c r="P205" s="100">
        <f>IF(OR(N205="",H205="",G205="",ABS(G205-H205)=0),"",N205/(ABS(G205-H205)*J205))</f>
        <v/>
      </c>
      <c r="Q205" s="74">
        <f>IF(N205="","",IF(N205&gt;0,"WIN",IF(N205&lt;0,"LOSS","FLAT")))</f>
        <v/>
      </c>
      <c r="AC205" s="98">
        <f>IF(N205="","",N205-IF(Z205="",0,Z205))</f>
        <v/>
      </c>
    </row>
    <row r="206" ht="15" customHeight="1" s="75">
      <c r="A206" s="74">
        <f>IF(B206="","",ROW()-1)</f>
        <v/>
      </c>
      <c r="N206" s="98">
        <f>IF(OR(K206="",G206="",J206=""),"",IF(E206="LONG",(K206-G206)*J206,(G206-K206)*J206))</f>
        <v/>
      </c>
      <c r="O206" s="99">
        <f>IF(OR(K206="",G206="",G206=0),"",IF(E206="LONG",(K206-G206)/G206,(G206-K206)/G206))</f>
        <v/>
      </c>
      <c r="P206" s="100">
        <f>IF(OR(N206="",H206="",G206="",ABS(G206-H206)=0),"",N206/(ABS(G206-H206)*J206))</f>
        <v/>
      </c>
      <c r="Q206" s="74">
        <f>IF(N206="","",IF(N206&gt;0,"WIN",IF(N206&lt;0,"LOSS","FLAT")))</f>
        <v/>
      </c>
      <c r="AC206" s="98">
        <f>IF(N206="","",N206-IF(Z206="",0,Z206))</f>
        <v/>
      </c>
    </row>
    <row r="207" ht="15" customHeight="1" s="75">
      <c r="A207" s="74">
        <f>IF(B207="","",ROW()-1)</f>
        <v/>
      </c>
      <c r="N207" s="98">
        <f>IF(OR(K207="",G207="",J207=""),"",IF(E207="LONG",(K207-G207)*J207,(G207-K207)*J207))</f>
        <v/>
      </c>
      <c r="O207" s="99">
        <f>IF(OR(K207="",G207="",G207=0),"",IF(E207="LONG",(K207-G207)/G207,(G207-K207)/G207))</f>
        <v/>
      </c>
      <c r="P207" s="100">
        <f>IF(OR(N207="",H207="",G207="",ABS(G207-H207)=0),"",N207/(ABS(G207-H207)*J207))</f>
        <v/>
      </c>
      <c r="Q207" s="74">
        <f>IF(N207="","",IF(N207&gt;0,"WIN",IF(N207&lt;0,"LOSS","FLAT")))</f>
        <v/>
      </c>
      <c r="AC207" s="98">
        <f>IF(N207="","",N207-IF(Z207="",0,Z207))</f>
        <v/>
      </c>
    </row>
    <row r="208" ht="15" customHeight="1" s="75">
      <c r="A208" s="74">
        <f>IF(B208="","",ROW()-1)</f>
        <v/>
      </c>
      <c r="N208" s="98">
        <f>IF(OR(K208="",G208="",J208=""),"",IF(E208="LONG",(K208-G208)*J208,(G208-K208)*J208))</f>
        <v/>
      </c>
      <c r="O208" s="99">
        <f>IF(OR(K208="",G208="",G208=0),"",IF(E208="LONG",(K208-G208)/G208,(G208-K208)/G208))</f>
        <v/>
      </c>
      <c r="P208" s="100">
        <f>IF(OR(N208="",H208="",G208="",ABS(G208-H208)=0),"",N208/(ABS(G208-H208)*J208))</f>
        <v/>
      </c>
      <c r="Q208" s="74">
        <f>IF(N208="","",IF(N208&gt;0,"WIN",IF(N208&lt;0,"LOSS","FLAT")))</f>
        <v/>
      </c>
      <c r="AC208" s="98">
        <f>IF(N208="","",N208-IF(Z208="",0,Z208))</f>
        <v/>
      </c>
    </row>
    <row r="209" ht="15" customHeight="1" s="75">
      <c r="A209" s="74">
        <f>IF(B209="","",ROW()-1)</f>
        <v/>
      </c>
      <c r="N209" s="98">
        <f>IF(OR(K209="",G209="",J209=""),"",IF(E209="LONG",(K209-G209)*J209,(G209-K209)*J209))</f>
        <v/>
      </c>
      <c r="O209" s="99">
        <f>IF(OR(K209="",G209="",G209=0),"",IF(E209="LONG",(K209-G209)/G209,(G209-K209)/G209))</f>
        <v/>
      </c>
      <c r="P209" s="100">
        <f>IF(OR(N209="",H209="",G209="",ABS(G209-H209)=0),"",N209/(ABS(G209-H209)*J209))</f>
        <v/>
      </c>
      <c r="Q209" s="74">
        <f>IF(N209="","",IF(N209&gt;0,"WIN",IF(N209&lt;0,"LOSS","FLAT")))</f>
        <v/>
      </c>
      <c r="AC209" s="98">
        <f>IF(N209="","",N209-IF(Z209="",0,Z209))</f>
        <v/>
      </c>
    </row>
    <row r="210" ht="15" customHeight="1" s="75">
      <c r="A210" s="74">
        <f>IF(B210="","",ROW()-1)</f>
        <v/>
      </c>
      <c r="N210" s="98">
        <f>IF(OR(K210="",G210="",J210=""),"",IF(E210="LONG",(K210-G210)*J210,(G210-K210)*J210))</f>
        <v/>
      </c>
      <c r="O210" s="99">
        <f>IF(OR(K210="",G210="",G210=0),"",IF(E210="LONG",(K210-G210)/G210,(G210-K210)/G210))</f>
        <v/>
      </c>
      <c r="P210" s="100">
        <f>IF(OR(N210="",H210="",G210="",ABS(G210-H210)=0),"",N210/(ABS(G210-H210)*J210))</f>
        <v/>
      </c>
      <c r="Q210" s="74">
        <f>IF(N210="","",IF(N210&gt;0,"WIN",IF(N210&lt;0,"LOSS","FLAT")))</f>
        <v/>
      </c>
      <c r="AC210" s="98">
        <f>IF(N210="","",N210-IF(Z210="",0,Z210))</f>
        <v/>
      </c>
    </row>
    <row r="211" ht="15" customHeight="1" s="75">
      <c r="A211" s="74">
        <f>IF(B211="","",ROW()-1)</f>
        <v/>
      </c>
      <c r="N211" s="98">
        <f>IF(OR(K211="",G211="",J211=""),"",IF(E211="LONG",(K211-G211)*J211,(G211-K211)*J211))</f>
        <v/>
      </c>
      <c r="O211" s="99">
        <f>IF(OR(K211="",G211="",G211=0),"",IF(E211="LONG",(K211-G211)/G211,(G211-K211)/G211))</f>
        <v/>
      </c>
      <c r="P211" s="100">
        <f>IF(OR(N211="",H211="",G211="",ABS(G211-H211)=0),"",N211/(ABS(G211-H211)*J211))</f>
        <v/>
      </c>
      <c r="Q211" s="74">
        <f>IF(N211="","",IF(N211&gt;0,"WIN",IF(N211&lt;0,"LOSS","FLAT")))</f>
        <v/>
      </c>
      <c r="AC211" s="98">
        <f>IF(N211="","",N211-IF(Z211="",0,Z211))</f>
        <v/>
      </c>
    </row>
    <row r="212" ht="15" customHeight="1" s="75">
      <c r="A212" s="74">
        <f>IF(B212="","",ROW()-1)</f>
        <v/>
      </c>
      <c r="N212" s="98">
        <f>IF(OR(K212="",G212="",J212=""),"",IF(E212="LONG",(K212-G212)*J212,(G212-K212)*J212))</f>
        <v/>
      </c>
      <c r="O212" s="99">
        <f>IF(OR(K212="",G212="",G212=0),"",IF(E212="LONG",(K212-G212)/G212,(G212-K212)/G212))</f>
        <v/>
      </c>
      <c r="P212" s="100">
        <f>IF(OR(N212="",H212="",G212="",ABS(G212-H212)=0),"",N212/(ABS(G212-H212)*J212))</f>
        <v/>
      </c>
      <c r="Q212" s="74">
        <f>IF(N212="","",IF(N212&gt;0,"WIN",IF(N212&lt;0,"LOSS","FLAT")))</f>
        <v/>
      </c>
      <c r="AC212" s="98">
        <f>IF(N212="","",N212-IF(Z212="",0,Z212))</f>
        <v/>
      </c>
    </row>
    <row r="213" ht="15" customHeight="1" s="75">
      <c r="A213" s="74">
        <f>IF(B213="","",ROW()-1)</f>
        <v/>
      </c>
      <c r="N213" s="98">
        <f>IF(OR(K213="",G213="",J213=""),"",IF(E213="LONG",(K213-G213)*J213,(G213-K213)*J213))</f>
        <v/>
      </c>
      <c r="O213" s="99">
        <f>IF(OR(K213="",G213="",G213=0),"",IF(E213="LONG",(K213-G213)/G213,(G213-K213)/G213))</f>
        <v/>
      </c>
      <c r="P213" s="100">
        <f>IF(OR(N213="",H213="",G213="",ABS(G213-H213)=0),"",N213/(ABS(G213-H213)*J213))</f>
        <v/>
      </c>
      <c r="Q213" s="74">
        <f>IF(N213="","",IF(N213&gt;0,"WIN",IF(N213&lt;0,"LOSS","FLAT")))</f>
        <v/>
      </c>
      <c r="AC213" s="98">
        <f>IF(N213="","",N213-IF(Z213="",0,Z213))</f>
        <v/>
      </c>
    </row>
    <row r="214" ht="15" customHeight="1" s="75">
      <c r="A214" s="74">
        <f>IF(B214="","",ROW()-1)</f>
        <v/>
      </c>
      <c r="N214" s="98">
        <f>IF(OR(K214="",G214="",J214=""),"",IF(E214="LONG",(K214-G214)*J214,(G214-K214)*J214))</f>
        <v/>
      </c>
      <c r="O214" s="99">
        <f>IF(OR(K214="",G214="",G214=0),"",IF(E214="LONG",(K214-G214)/G214,(G214-K214)/G214))</f>
        <v/>
      </c>
      <c r="P214" s="100">
        <f>IF(OR(N214="",H214="",G214="",ABS(G214-H214)=0),"",N214/(ABS(G214-H214)*J214))</f>
        <v/>
      </c>
      <c r="Q214" s="74">
        <f>IF(N214="","",IF(N214&gt;0,"WIN",IF(N214&lt;0,"LOSS","FLAT")))</f>
        <v/>
      </c>
      <c r="AC214" s="98">
        <f>IF(N214="","",N214-IF(Z214="",0,Z214))</f>
        <v/>
      </c>
    </row>
    <row r="215" ht="15" customHeight="1" s="75">
      <c r="A215" s="74">
        <f>IF(B215="","",ROW()-1)</f>
        <v/>
      </c>
      <c r="N215" s="98">
        <f>IF(OR(K215="",G215="",J215=""),"",IF(E215="LONG",(K215-G215)*J215,(G215-K215)*J215))</f>
        <v/>
      </c>
      <c r="O215" s="99">
        <f>IF(OR(K215="",G215="",G215=0),"",IF(E215="LONG",(K215-G215)/G215,(G215-K215)/G215))</f>
        <v/>
      </c>
      <c r="P215" s="100">
        <f>IF(OR(N215="",H215="",G215="",ABS(G215-H215)=0),"",N215/(ABS(G215-H215)*J215))</f>
        <v/>
      </c>
      <c r="Q215" s="74">
        <f>IF(N215="","",IF(N215&gt;0,"WIN",IF(N215&lt;0,"LOSS","FLAT")))</f>
        <v/>
      </c>
      <c r="AC215" s="98">
        <f>IF(N215="","",N215-IF(Z215="",0,Z215))</f>
        <v/>
      </c>
    </row>
    <row r="216" ht="15" customHeight="1" s="75">
      <c r="A216" s="74">
        <f>IF(B216="","",ROW()-1)</f>
        <v/>
      </c>
      <c r="N216" s="98">
        <f>IF(OR(K216="",G216="",J216=""),"",IF(E216="LONG",(K216-G216)*J216,(G216-K216)*J216))</f>
        <v/>
      </c>
      <c r="O216" s="99">
        <f>IF(OR(K216="",G216="",G216=0),"",IF(E216="LONG",(K216-G216)/G216,(G216-K216)/G216))</f>
        <v/>
      </c>
      <c r="P216" s="100">
        <f>IF(OR(N216="",H216="",G216="",ABS(G216-H216)=0),"",N216/(ABS(G216-H216)*J216))</f>
        <v/>
      </c>
      <c r="Q216" s="74">
        <f>IF(N216="","",IF(N216&gt;0,"WIN",IF(N216&lt;0,"LOSS","FLAT")))</f>
        <v/>
      </c>
      <c r="AC216" s="98">
        <f>IF(N216="","",N216-IF(Z216="",0,Z216))</f>
        <v/>
      </c>
    </row>
    <row r="217" ht="15" customHeight="1" s="75">
      <c r="A217" s="74">
        <f>IF(B217="","",ROW()-1)</f>
        <v/>
      </c>
      <c r="N217" s="98">
        <f>IF(OR(K217="",G217="",J217=""),"",IF(E217="LONG",(K217-G217)*J217,(G217-K217)*J217))</f>
        <v/>
      </c>
      <c r="O217" s="99">
        <f>IF(OR(K217="",G217="",G217=0),"",IF(E217="LONG",(K217-G217)/G217,(G217-K217)/G217))</f>
        <v/>
      </c>
      <c r="P217" s="100">
        <f>IF(OR(N217="",H217="",G217="",ABS(G217-H217)=0),"",N217/(ABS(G217-H217)*J217))</f>
        <v/>
      </c>
      <c r="Q217" s="74">
        <f>IF(N217="","",IF(N217&gt;0,"WIN",IF(N217&lt;0,"LOSS","FLAT")))</f>
        <v/>
      </c>
      <c r="AC217" s="98">
        <f>IF(N217="","",N217-IF(Z217="",0,Z217))</f>
        <v/>
      </c>
    </row>
    <row r="218" ht="15" customHeight="1" s="75">
      <c r="A218" s="74">
        <f>IF(B218="","",ROW()-1)</f>
        <v/>
      </c>
      <c r="N218" s="98">
        <f>IF(OR(K218="",G218="",J218=""),"",IF(E218="LONG",(K218-G218)*J218,(G218-K218)*J218))</f>
        <v/>
      </c>
      <c r="O218" s="99">
        <f>IF(OR(K218="",G218="",G218=0),"",IF(E218="LONG",(K218-G218)/G218,(G218-K218)/G218))</f>
        <v/>
      </c>
      <c r="P218" s="100">
        <f>IF(OR(N218="",H218="",G218="",ABS(G218-H218)=0),"",N218/(ABS(G218-H218)*J218))</f>
        <v/>
      </c>
      <c r="Q218" s="74">
        <f>IF(N218="","",IF(N218&gt;0,"WIN",IF(N218&lt;0,"LOSS","FLAT")))</f>
        <v/>
      </c>
      <c r="AC218" s="98">
        <f>IF(N218="","",N218-IF(Z218="",0,Z218))</f>
        <v/>
      </c>
    </row>
    <row r="219" ht="15" customHeight="1" s="75">
      <c r="A219" s="74">
        <f>IF(B219="","",ROW()-1)</f>
        <v/>
      </c>
      <c r="N219" s="98">
        <f>IF(OR(K219="",G219="",J219=""),"",IF(E219="LONG",(K219-G219)*J219,(G219-K219)*J219))</f>
        <v/>
      </c>
      <c r="O219" s="99">
        <f>IF(OR(K219="",G219="",G219=0),"",IF(E219="LONG",(K219-G219)/G219,(G219-K219)/G219))</f>
        <v/>
      </c>
      <c r="P219" s="100">
        <f>IF(OR(N219="",H219="",G219="",ABS(G219-H219)=0),"",N219/(ABS(G219-H219)*J219))</f>
        <v/>
      </c>
      <c r="Q219" s="74">
        <f>IF(N219="","",IF(N219&gt;0,"WIN",IF(N219&lt;0,"LOSS","FLAT")))</f>
        <v/>
      </c>
      <c r="AC219" s="98">
        <f>IF(N219="","",N219-IF(Z219="",0,Z219))</f>
        <v/>
      </c>
    </row>
    <row r="220" ht="15" customHeight="1" s="75">
      <c r="A220" s="74">
        <f>IF(B220="","",ROW()-1)</f>
        <v/>
      </c>
      <c r="N220" s="98">
        <f>IF(OR(K220="",G220="",J220=""),"",IF(E220="LONG",(K220-G220)*J220,(G220-K220)*J220))</f>
        <v/>
      </c>
      <c r="O220" s="99">
        <f>IF(OR(K220="",G220="",G220=0),"",IF(E220="LONG",(K220-G220)/G220,(G220-K220)/G220))</f>
        <v/>
      </c>
      <c r="P220" s="100">
        <f>IF(OR(N220="",H220="",G220="",ABS(G220-H220)=0),"",N220/(ABS(G220-H220)*J220))</f>
        <v/>
      </c>
      <c r="Q220" s="74">
        <f>IF(N220="","",IF(N220&gt;0,"WIN",IF(N220&lt;0,"LOSS","FLAT")))</f>
        <v/>
      </c>
      <c r="AC220" s="98">
        <f>IF(N220="","",N220-IF(Z220="",0,Z220))</f>
        <v/>
      </c>
    </row>
    <row r="221" ht="15" customHeight="1" s="75">
      <c r="A221" s="74">
        <f>IF(B221="","",ROW()-1)</f>
        <v/>
      </c>
      <c r="N221" s="98">
        <f>IF(OR(K221="",G221="",J221=""),"",IF(E221="LONG",(K221-G221)*J221,(G221-K221)*J221))</f>
        <v/>
      </c>
      <c r="O221" s="99">
        <f>IF(OR(K221="",G221="",G221=0),"",IF(E221="LONG",(K221-G221)/G221,(G221-K221)/G221))</f>
        <v/>
      </c>
      <c r="P221" s="100">
        <f>IF(OR(N221="",H221="",G221="",ABS(G221-H221)=0),"",N221/(ABS(G221-H221)*J221))</f>
        <v/>
      </c>
      <c r="Q221" s="74">
        <f>IF(N221="","",IF(N221&gt;0,"WIN",IF(N221&lt;0,"LOSS","FLAT")))</f>
        <v/>
      </c>
      <c r="AC221" s="98">
        <f>IF(N221="","",N221-IF(Z221="",0,Z221))</f>
        <v/>
      </c>
    </row>
    <row r="222" ht="15" customHeight="1" s="75">
      <c r="A222" s="74">
        <f>IF(B222="","",ROW()-1)</f>
        <v/>
      </c>
      <c r="N222" s="98">
        <f>IF(OR(K222="",G222="",J222=""),"",IF(E222="LONG",(K222-G222)*J222,(G222-K222)*J222))</f>
        <v/>
      </c>
      <c r="O222" s="99">
        <f>IF(OR(K222="",G222="",G222=0),"",IF(E222="LONG",(K222-G222)/G222,(G222-K222)/G222))</f>
        <v/>
      </c>
      <c r="P222" s="100">
        <f>IF(OR(N222="",H222="",G222="",ABS(G222-H222)=0),"",N222/(ABS(G222-H222)*J222))</f>
        <v/>
      </c>
      <c r="Q222" s="74">
        <f>IF(N222="","",IF(N222&gt;0,"WIN",IF(N222&lt;0,"LOSS","FLAT")))</f>
        <v/>
      </c>
      <c r="AC222" s="98">
        <f>IF(N222="","",N222-IF(Z222="",0,Z222))</f>
        <v/>
      </c>
    </row>
    <row r="223" ht="15" customHeight="1" s="75">
      <c r="A223" s="74">
        <f>IF(B223="","",ROW()-1)</f>
        <v/>
      </c>
      <c r="N223" s="98">
        <f>IF(OR(K223="",G223="",J223=""),"",IF(E223="LONG",(K223-G223)*J223,(G223-K223)*J223))</f>
        <v/>
      </c>
      <c r="O223" s="99">
        <f>IF(OR(K223="",G223="",G223=0),"",IF(E223="LONG",(K223-G223)/G223,(G223-K223)/G223))</f>
        <v/>
      </c>
      <c r="P223" s="100">
        <f>IF(OR(N223="",H223="",G223="",ABS(G223-H223)=0),"",N223/(ABS(G223-H223)*J223))</f>
        <v/>
      </c>
      <c r="Q223" s="74">
        <f>IF(N223="","",IF(N223&gt;0,"WIN",IF(N223&lt;0,"LOSS","FLAT")))</f>
        <v/>
      </c>
      <c r="AC223" s="98">
        <f>IF(N223="","",N223-IF(Z223="",0,Z223))</f>
        <v/>
      </c>
    </row>
    <row r="224" ht="15" customHeight="1" s="75">
      <c r="A224" s="74">
        <f>IF(B224="","",ROW()-1)</f>
        <v/>
      </c>
      <c r="N224" s="98">
        <f>IF(OR(K224="",G224="",J224=""),"",IF(E224="LONG",(K224-G224)*J224,(G224-K224)*J224))</f>
        <v/>
      </c>
      <c r="O224" s="99">
        <f>IF(OR(K224="",G224="",G224=0),"",IF(E224="LONG",(K224-G224)/G224,(G224-K224)/G224))</f>
        <v/>
      </c>
      <c r="P224" s="100">
        <f>IF(OR(N224="",H224="",G224="",ABS(G224-H224)=0),"",N224/(ABS(G224-H224)*J224))</f>
        <v/>
      </c>
      <c r="Q224" s="74">
        <f>IF(N224="","",IF(N224&gt;0,"WIN",IF(N224&lt;0,"LOSS","FLAT")))</f>
        <v/>
      </c>
      <c r="AC224" s="98">
        <f>IF(N224="","",N224-IF(Z224="",0,Z224))</f>
        <v/>
      </c>
    </row>
    <row r="225" ht="15" customHeight="1" s="75">
      <c r="A225" s="74">
        <f>IF(B225="","",ROW()-1)</f>
        <v/>
      </c>
      <c r="N225" s="98">
        <f>IF(OR(K225="",G225="",J225=""),"",IF(E225="LONG",(K225-G225)*J225,(G225-K225)*J225))</f>
        <v/>
      </c>
      <c r="O225" s="99">
        <f>IF(OR(K225="",G225="",G225=0),"",IF(E225="LONG",(K225-G225)/G225,(G225-K225)/G225))</f>
        <v/>
      </c>
      <c r="P225" s="100">
        <f>IF(OR(N225="",H225="",G225="",ABS(G225-H225)=0),"",N225/(ABS(G225-H225)*J225))</f>
        <v/>
      </c>
      <c r="Q225" s="74">
        <f>IF(N225="","",IF(N225&gt;0,"WIN",IF(N225&lt;0,"LOSS","FLAT")))</f>
        <v/>
      </c>
      <c r="AC225" s="98">
        <f>IF(N225="","",N225-IF(Z225="",0,Z225))</f>
        <v/>
      </c>
    </row>
    <row r="226" ht="15" customHeight="1" s="75">
      <c r="A226" s="74">
        <f>IF(B226="","",ROW()-1)</f>
        <v/>
      </c>
      <c r="N226" s="98">
        <f>IF(OR(K226="",G226="",J226=""),"",IF(E226="LONG",(K226-G226)*J226,(G226-K226)*J226))</f>
        <v/>
      </c>
      <c r="O226" s="99">
        <f>IF(OR(K226="",G226="",G226=0),"",IF(E226="LONG",(K226-G226)/G226,(G226-K226)/G226))</f>
        <v/>
      </c>
      <c r="P226" s="100">
        <f>IF(OR(N226="",H226="",G226="",ABS(G226-H226)=0),"",N226/(ABS(G226-H226)*J226))</f>
        <v/>
      </c>
      <c r="Q226" s="74">
        <f>IF(N226="","",IF(N226&gt;0,"WIN",IF(N226&lt;0,"LOSS","FLAT")))</f>
        <v/>
      </c>
      <c r="AC226" s="98">
        <f>IF(N226="","",N226-IF(Z226="",0,Z226))</f>
        <v/>
      </c>
    </row>
    <row r="227" ht="15" customHeight="1" s="75">
      <c r="A227" s="74">
        <f>IF(B227="","",ROW()-1)</f>
        <v/>
      </c>
      <c r="N227" s="98">
        <f>IF(OR(K227="",G227="",J227=""),"",IF(E227="LONG",(K227-G227)*J227,(G227-K227)*J227))</f>
        <v/>
      </c>
      <c r="O227" s="99">
        <f>IF(OR(K227="",G227="",G227=0),"",IF(E227="LONG",(K227-G227)/G227,(G227-K227)/G227))</f>
        <v/>
      </c>
      <c r="P227" s="100">
        <f>IF(OR(N227="",H227="",G227="",ABS(G227-H227)=0),"",N227/(ABS(G227-H227)*J227))</f>
        <v/>
      </c>
      <c r="Q227" s="74">
        <f>IF(N227="","",IF(N227&gt;0,"WIN",IF(N227&lt;0,"LOSS","FLAT")))</f>
        <v/>
      </c>
      <c r="AC227" s="98">
        <f>IF(N227="","",N227-IF(Z227="",0,Z227))</f>
        <v/>
      </c>
    </row>
    <row r="228" ht="15" customHeight="1" s="75">
      <c r="A228" s="74">
        <f>IF(B228="","",ROW()-1)</f>
        <v/>
      </c>
      <c r="N228" s="98">
        <f>IF(OR(K228="",G228="",J228=""),"",IF(E228="LONG",(K228-G228)*J228,(G228-K228)*J228))</f>
        <v/>
      </c>
      <c r="O228" s="99">
        <f>IF(OR(K228="",G228="",G228=0),"",IF(E228="LONG",(K228-G228)/G228,(G228-K228)/G228))</f>
        <v/>
      </c>
      <c r="P228" s="100">
        <f>IF(OR(N228="",H228="",G228="",ABS(G228-H228)=0),"",N228/(ABS(G228-H228)*J228))</f>
        <v/>
      </c>
      <c r="Q228" s="74">
        <f>IF(N228="","",IF(N228&gt;0,"WIN",IF(N228&lt;0,"LOSS","FLAT")))</f>
        <v/>
      </c>
      <c r="AC228" s="98">
        <f>IF(N228="","",N228-IF(Z228="",0,Z228))</f>
        <v/>
      </c>
    </row>
    <row r="229" ht="15" customHeight="1" s="75">
      <c r="A229" s="74">
        <f>IF(B229="","",ROW()-1)</f>
        <v/>
      </c>
      <c r="N229" s="98">
        <f>IF(OR(K229="",G229="",J229=""),"",IF(E229="LONG",(K229-G229)*J229,(G229-K229)*J229))</f>
        <v/>
      </c>
      <c r="O229" s="99">
        <f>IF(OR(K229="",G229="",G229=0),"",IF(E229="LONG",(K229-G229)/G229,(G229-K229)/G229))</f>
        <v/>
      </c>
      <c r="P229" s="100">
        <f>IF(OR(N229="",H229="",G229="",ABS(G229-H229)=0),"",N229/(ABS(G229-H229)*J229))</f>
        <v/>
      </c>
      <c r="Q229" s="74">
        <f>IF(N229="","",IF(N229&gt;0,"WIN",IF(N229&lt;0,"LOSS","FLAT")))</f>
        <v/>
      </c>
      <c r="AC229" s="98">
        <f>IF(N229="","",N229-IF(Z229="",0,Z229))</f>
        <v/>
      </c>
    </row>
    <row r="230" ht="15" customHeight="1" s="75">
      <c r="A230" s="74">
        <f>IF(B230="","",ROW()-1)</f>
        <v/>
      </c>
      <c r="N230" s="98">
        <f>IF(OR(K230="",G230="",J230=""),"",IF(E230="LONG",(K230-G230)*J230,(G230-K230)*J230))</f>
        <v/>
      </c>
      <c r="O230" s="99">
        <f>IF(OR(K230="",G230="",G230=0),"",IF(E230="LONG",(K230-G230)/G230,(G230-K230)/G230))</f>
        <v/>
      </c>
      <c r="P230" s="100">
        <f>IF(OR(N230="",H230="",G230="",ABS(G230-H230)=0),"",N230/(ABS(G230-H230)*J230))</f>
        <v/>
      </c>
      <c r="Q230" s="74">
        <f>IF(N230="","",IF(N230&gt;0,"WIN",IF(N230&lt;0,"LOSS","FLAT")))</f>
        <v/>
      </c>
      <c r="AC230" s="98">
        <f>IF(N230="","",N230-IF(Z230="",0,Z230))</f>
        <v/>
      </c>
    </row>
    <row r="231" ht="15" customHeight="1" s="75">
      <c r="A231" s="74">
        <f>IF(B231="","",ROW()-1)</f>
        <v/>
      </c>
      <c r="N231" s="98">
        <f>IF(OR(K231="",G231="",J231=""),"",IF(E231="LONG",(K231-G231)*J231,(G231-K231)*J231))</f>
        <v/>
      </c>
      <c r="O231" s="99">
        <f>IF(OR(K231="",G231="",G231=0),"",IF(E231="LONG",(K231-G231)/G231,(G231-K231)/G231))</f>
        <v/>
      </c>
      <c r="P231" s="100">
        <f>IF(OR(N231="",H231="",G231="",ABS(G231-H231)=0),"",N231/(ABS(G231-H231)*J231))</f>
        <v/>
      </c>
      <c r="Q231" s="74">
        <f>IF(N231="","",IF(N231&gt;0,"WIN",IF(N231&lt;0,"LOSS","FLAT")))</f>
        <v/>
      </c>
      <c r="AC231" s="98">
        <f>IF(N231="","",N231-IF(Z231="",0,Z231))</f>
        <v/>
      </c>
    </row>
    <row r="232" ht="15" customHeight="1" s="75">
      <c r="A232" s="74">
        <f>IF(B232="","",ROW()-1)</f>
        <v/>
      </c>
      <c r="N232" s="98">
        <f>IF(OR(K232="",G232="",J232=""),"",IF(E232="LONG",(K232-G232)*J232,(G232-K232)*J232))</f>
        <v/>
      </c>
      <c r="O232" s="99">
        <f>IF(OR(K232="",G232="",G232=0),"",IF(E232="LONG",(K232-G232)/G232,(G232-K232)/G232))</f>
        <v/>
      </c>
      <c r="P232" s="100">
        <f>IF(OR(N232="",H232="",G232="",ABS(G232-H232)=0),"",N232/(ABS(G232-H232)*J232))</f>
        <v/>
      </c>
      <c r="Q232" s="74">
        <f>IF(N232="","",IF(N232&gt;0,"WIN",IF(N232&lt;0,"LOSS","FLAT")))</f>
        <v/>
      </c>
      <c r="AC232" s="98">
        <f>IF(N232="","",N232-IF(Z232="",0,Z232))</f>
        <v/>
      </c>
    </row>
    <row r="233" ht="15" customHeight="1" s="75">
      <c r="A233" s="74">
        <f>IF(B233="","",ROW()-1)</f>
        <v/>
      </c>
      <c r="N233" s="98">
        <f>IF(OR(K233="",G233="",J233=""),"",IF(E233="LONG",(K233-G233)*J233,(G233-K233)*J233))</f>
        <v/>
      </c>
      <c r="O233" s="99">
        <f>IF(OR(K233="",G233="",G233=0),"",IF(E233="LONG",(K233-G233)/G233,(G233-K233)/G233))</f>
        <v/>
      </c>
      <c r="P233" s="100">
        <f>IF(OR(N233="",H233="",G233="",ABS(G233-H233)=0),"",N233/(ABS(G233-H233)*J233))</f>
        <v/>
      </c>
      <c r="Q233" s="74">
        <f>IF(N233="","",IF(N233&gt;0,"WIN",IF(N233&lt;0,"LOSS","FLAT")))</f>
        <v/>
      </c>
      <c r="AC233" s="98">
        <f>IF(N233="","",N233-IF(Z233="",0,Z233))</f>
        <v/>
      </c>
    </row>
    <row r="234" ht="15" customHeight="1" s="75">
      <c r="A234" s="74">
        <f>IF(B234="","",ROW()-1)</f>
        <v/>
      </c>
      <c r="N234" s="98">
        <f>IF(OR(K234="",G234="",J234=""),"",IF(E234="LONG",(K234-G234)*J234,(G234-K234)*J234))</f>
        <v/>
      </c>
      <c r="O234" s="99">
        <f>IF(OR(K234="",G234="",G234=0),"",IF(E234="LONG",(K234-G234)/G234,(G234-K234)/G234))</f>
        <v/>
      </c>
      <c r="P234" s="100">
        <f>IF(OR(N234="",H234="",G234="",ABS(G234-H234)=0),"",N234/(ABS(G234-H234)*J234))</f>
        <v/>
      </c>
      <c r="Q234" s="74">
        <f>IF(N234="","",IF(N234&gt;0,"WIN",IF(N234&lt;0,"LOSS","FLAT")))</f>
        <v/>
      </c>
      <c r="AC234" s="98">
        <f>IF(N234="","",N234-IF(Z234="",0,Z234))</f>
        <v/>
      </c>
    </row>
    <row r="235" ht="15" customHeight="1" s="75">
      <c r="A235" s="74">
        <f>IF(B235="","",ROW()-1)</f>
        <v/>
      </c>
      <c r="N235" s="98">
        <f>IF(OR(K235="",G235="",J235=""),"",IF(E235="LONG",(K235-G235)*J235,(G235-K235)*J235))</f>
        <v/>
      </c>
      <c r="O235" s="99">
        <f>IF(OR(K235="",G235="",G235=0),"",IF(E235="LONG",(K235-G235)/G235,(G235-K235)/G235))</f>
        <v/>
      </c>
      <c r="P235" s="100">
        <f>IF(OR(N235="",H235="",G235="",ABS(G235-H235)=0),"",N235/(ABS(G235-H235)*J235))</f>
        <v/>
      </c>
      <c r="Q235" s="74">
        <f>IF(N235="","",IF(N235&gt;0,"WIN",IF(N235&lt;0,"LOSS","FLAT")))</f>
        <v/>
      </c>
      <c r="AC235" s="98">
        <f>IF(N235="","",N235-IF(Z235="",0,Z235))</f>
        <v/>
      </c>
    </row>
    <row r="236" ht="15" customHeight="1" s="75">
      <c r="A236" s="74">
        <f>IF(B236="","",ROW()-1)</f>
        <v/>
      </c>
      <c r="N236" s="98">
        <f>IF(OR(K236="",G236="",J236=""),"",IF(E236="LONG",(K236-G236)*J236,(G236-K236)*J236))</f>
        <v/>
      </c>
      <c r="O236" s="99">
        <f>IF(OR(K236="",G236="",G236=0),"",IF(E236="LONG",(K236-G236)/G236,(G236-K236)/G236))</f>
        <v/>
      </c>
      <c r="P236" s="100">
        <f>IF(OR(N236="",H236="",G236="",ABS(G236-H236)=0),"",N236/(ABS(G236-H236)*J236))</f>
        <v/>
      </c>
      <c r="Q236" s="74">
        <f>IF(N236="","",IF(N236&gt;0,"WIN",IF(N236&lt;0,"LOSS","FLAT")))</f>
        <v/>
      </c>
      <c r="AC236" s="98">
        <f>IF(N236="","",N236-IF(Z236="",0,Z236))</f>
        <v/>
      </c>
    </row>
    <row r="237" ht="15" customHeight="1" s="75">
      <c r="A237" s="74">
        <f>IF(B237="","",ROW()-1)</f>
        <v/>
      </c>
      <c r="N237" s="98">
        <f>IF(OR(K237="",G237="",J237=""),"",IF(E237="LONG",(K237-G237)*J237,(G237-K237)*J237))</f>
        <v/>
      </c>
      <c r="O237" s="99">
        <f>IF(OR(K237="",G237="",G237=0),"",IF(E237="LONG",(K237-G237)/G237,(G237-K237)/G237))</f>
        <v/>
      </c>
      <c r="P237" s="100">
        <f>IF(OR(N237="",H237="",G237="",ABS(G237-H237)=0),"",N237/(ABS(G237-H237)*J237))</f>
        <v/>
      </c>
      <c r="Q237" s="74">
        <f>IF(N237="","",IF(N237&gt;0,"WIN",IF(N237&lt;0,"LOSS","FLAT")))</f>
        <v/>
      </c>
      <c r="AC237" s="98">
        <f>IF(N237="","",N237-IF(Z237="",0,Z237))</f>
        <v/>
      </c>
    </row>
    <row r="238" ht="15" customHeight="1" s="75">
      <c r="A238" s="74">
        <f>IF(B238="","",ROW()-1)</f>
        <v/>
      </c>
      <c r="N238" s="98">
        <f>IF(OR(K238="",G238="",J238=""),"",IF(E238="LONG",(K238-G238)*J238,(G238-K238)*J238))</f>
        <v/>
      </c>
      <c r="O238" s="99">
        <f>IF(OR(K238="",G238="",G238=0),"",IF(E238="LONG",(K238-G238)/G238,(G238-K238)/G238))</f>
        <v/>
      </c>
      <c r="P238" s="100">
        <f>IF(OR(N238="",H238="",G238="",ABS(G238-H238)=0),"",N238/(ABS(G238-H238)*J238))</f>
        <v/>
      </c>
      <c r="Q238" s="74">
        <f>IF(N238="","",IF(N238&gt;0,"WIN",IF(N238&lt;0,"LOSS","FLAT")))</f>
        <v/>
      </c>
      <c r="AC238" s="98">
        <f>IF(N238="","",N238-IF(Z238="",0,Z238))</f>
        <v/>
      </c>
    </row>
    <row r="239" ht="15" customHeight="1" s="75">
      <c r="A239" s="74">
        <f>IF(B239="","",ROW()-1)</f>
        <v/>
      </c>
      <c r="N239" s="98">
        <f>IF(OR(K239="",G239="",J239=""),"",IF(E239="LONG",(K239-G239)*J239,(G239-K239)*J239))</f>
        <v/>
      </c>
      <c r="O239" s="99">
        <f>IF(OR(K239="",G239="",G239=0),"",IF(E239="LONG",(K239-G239)/G239,(G239-K239)/G239))</f>
        <v/>
      </c>
      <c r="P239" s="100">
        <f>IF(OR(N239="",H239="",G239="",ABS(G239-H239)=0),"",N239/(ABS(G239-H239)*J239))</f>
        <v/>
      </c>
      <c r="Q239" s="74">
        <f>IF(N239="","",IF(N239&gt;0,"WIN",IF(N239&lt;0,"LOSS","FLAT")))</f>
        <v/>
      </c>
      <c r="AC239" s="98">
        <f>IF(N239="","",N239-IF(Z239="",0,Z239))</f>
        <v/>
      </c>
    </row>
    <row r="240" ht="15" customHeight="1" s="75">
      <c r="A240" s="74">
        <f>IF(B240="","",ROW()-1)</f>
        <v/>
      </c>
      <c r="N240" s="98">
        <f>IF(OR(K240="",G240="",J240=""),"",IF(E240="LONG",(K240-G240)*J240,(G240-K240)*J240))</f>
        <v/>
      </c>
      <c r="O240" s="99">
        <f>IF(OR(K240="",G240="",G240=0),"",IF(E240="LONG",(K240-G240)/G240,(G240-K240)/G240))</f>
        <v/>
      </c>
      <c r="P240" s="100">
        <f>IF(OR(N240="",H240="",G240="",ABS(G240-H240)=0),"",N240/(ABS(G240-H240)*J240))</f>
        <v/>
      </c>
      <c r="Q240" s="74">
        <f>IF(N240="","",IF(N240&gt;0,"WIN",IF(N240&lt;0,"LOSS","FLAT")))</f>
        <v/>
      </c>
      <c r="AC240" s="98">
        <f>IF(N240="","",N240-IF(Z240="",0,Z240))</f>
        <v/>
      </c>
    </row>
    <row r="241" ht="15" customHeight="1" s="75">
      <c r="A241" s="74">
        <f>IF(B241="","",ROW()-1)</f>
        <v/>
      </c>
      <c r="N241" s="98">
        <f>IF(OR(K241="",G241="",J241=""),"",IF(E241="LONG",(K241-G241)*J241,(G241-K241)*J241))</f>
        <v/>
      </c>
      <c r="O241" s="99">
        <f>IF(OR(K241="",G241="",G241=0),"",IF(E241="LONG",(K241-G241)/G241,(G241-K241)/G241))</f>
        <v/>
      </c>
      <c r="P241" s="100">
        <f>IF(OR(N241="",H241="",G241="",ABS(G241-H241)=0),"",N241/(ABS(G241-H241)*J241))</f>
        <v/>
      </c>
      <c r="Q241" s="74">
        <f>IF(N241="","",IF(N241&gt;0,"WIN",IF(N241&lt;0,"LOSS","FLAT")))</f>
        <v/>
      </c>
      <c r="AC241" s="98">
        <f>IF(N241="","",N241-IF(Z241="",0,Z241))</f>
        <v/>
      </c>
    </row>
    <row r="242" ht="15" customHeight="1" s="75">
      <c r="A242" s="74">
        <f>IF(B242="","",ROW()-1)</f>
        <v/>
      </c>
      <c r="N242" s="98">
        <f>IF(OR(K242="",G242="",J242=""),"",IF(E242="LONG",(K242-G242)*J242,(G242-K242)*J242))</f>
        <v/>
      </c>
      <c r="O242" s="99">
        <f>IF(OR(K242="",G242="",G242=0),"",IF(E242="LONG",(K242-G242)/G242,(G242-K242)/G242))</f>
        <v/>
      </c>
      <c r="P242" s="100">
        <f>IF(OR(N242="",H242="",G242="",ABS(G242-H242)=0),"",N242/(ABS(G242-H242)*J242))</f>
        <v/>
      </c>
      <c r="Q242" s="74">
        <f>IF(N242="","",IF(N242&gt;0,"WIN",IF(N242&lt;0,"LOSS","FLAT")))</f>
        <v/>
      </c>
      <c r="AC242" s="98">
        <f>IF(N242="","",N242-IF(Z242="",0,Z242))</f>
        <v/>
      </c>
    </row>
    <row r="243" ht="15" customHeight="1" s="75">
      <c r="A243" s="74">
        <f>IF(B243="","",ROW()-1)</f>
        <v/>
      </c>
      <c r="N243" s="98">
        <f>IF(OR(K243="",G243="",J243=""),"",IF(E243="LONG",(K243-G243)*J243,(G243-K243)*J243))</f>
        <v/>
      </c>
      <c r="O243" s="99">
        <f>IF(OR(K243="",G243="",G243=0),"",IF(E243="LONG",(K243-G243)/G243,(G243-K243)/G243))</f>
        <v/>
      </c>
      <c r="P243" s="100">
        <f>IF(OR(N243="",H243="",G243="",ABS(G243-H243)=0),"",N243/(ABS(G243-H243)*J243))</f>
        <v/>
      </c>
      <c r="Q243" s="74">
        <f>IF(N243="","",IF(N243&gt;0,"WIN",IF(N243&lt;0,"LOSS","FLAT")))</f>
        <v/>
      </c>
      <c r="AC243" s="98">
        <f>IF(N243="","",N243-IF(Z243="",0,Z243))</f>
        <v/>
      </c>
    </row>
    <row r="244" ht="15" customHeight="1" s="75">
      <c r="A244" s="74">
        <f>IF(B244="","",ROW()-1)</f>
        <v/>
      </c>
      <c r="N244" s="98">
        <f>IF(OR(K244="",G244="",J244=""),"",IF(E244="LONG",(K244-G244)*J244,(G244-K244)*J244))</f>
        <v/>
      </c>
      <c r="O244" s="99">
        <f>IF(OR(K244="",G244="",G244=0),"",IF(E244="LONG",(K244-G244)/G244,(G244-K244)/G244))</f>
        <v/>
      </c>
      <c r="P244" s="100">
        <f>IF(OR(N244="",H244="",G244="",ABS(G244-H244)=0),"",N244/(ABS(G244-H244)*J244))</f>
        <v/>
      </c>
      <c r="Q244" s="74">
        <f>IF(N244="","",IF(N244&gt;0,"WIN",IF(N244&lt;0,"LOSS","FLAT")))</f>
        <v/>
      </c>
      <c r="AC244" s="98">
        <f>IF(N244="","",N244-IF(Z244="",0,Z244))</f>
        <v/>
      </c>
    </row>
    <row r="245" ht="15" customHeight="1" s="75">
      <c r="A245" s="74">
        <f>IF(B245="","",ROW()-1)</f>
        <v/>
      </c>
      <c r="N245" s="98">
        <f>IF(OR(K245="",G245="",J245=""),"",IF(E245="LONG",(K245-G245)*J245,(G245-K245)*J245))</f>
        <v/>
      </c>
      <c r="O245" s="99">
        <f>IF(OR(K245="",G245="",G245=0),"",IF(E245="LONG",(K245-G245)/G245,(G245-K245)/G245))</f>
        <v/>
      </c>
      <c r="P245" s="100">
        <f>IF(OR(N245="",H245="",G245="",ABS(G245-H245)=0),"",N245/(ABS(G245-H245)*J245))</f>
        <v/>
      </c>
      <c r="Q245" s="74">
        <f>IF(N245="","",IF(N245&gt;0,"WIN",IF(N245&lt;0,"LOSS","FLAT")))</f>
        <v/>
      </c>
      <c r="AC245" s="98">
        <f>IF(N245="","",N245-IF(Z245="",0,Z245))</f>
        <v/>
      </c>
    </row>
    <row r="246" ht="15" customHeight="1" s="75">
      <c r="A246" s="74">
        <f>IF(B246="","",ROW()-1)</f>
        <v/>
      </c>
      <c r="N246" s="98">
        <f>IF(OR(K246="",G246="",J246=""),"",IF(E246="LONG",(K246-G246)*J246,(G246-K246)*J246))</f>
        <v/>
      </c>
      <c r="O246" s="99">
        <f>IF(OR(K246="",G246="",G246=0),"",IF(E246="LONG",(K246-G246)/G246,(G246-K246)/G246))</f>
        <v/>
      </c>
      <c r="P246" s="100">
        <f>IF(OR(N246="",H246="",G246="",ABS(G246-H246)=0),"",N246/(ABS(G246-H246)*J246))</f>
        <v/>
      </c>
      <c r="Q246" s="74">
        <f>IF(N246="","",IF(N246&gt;0,"WIN",IF(N246&lt;0,"LOSS","FLAT")))</f>
        <v/>
      </c>
      <c r="AC246" s="98">
        <f>IF(N246="","",N246-IF(Z246="",0,Z246))</f>
        <v/>
      </c>
    </row>
    <row r="247" ht="15" customHeight="1" s="75">
      <c r="A247" s="74">
        <f>IF(B247="","",ROW()-1)</f>
        <v/>
      </c>
      <c r="N247" s="98">
        <f>IF(OR(K247="",G247="",J247=""),"",IF(E247="LONG",(K247-G247)*J247,(G247-K247)*J247))</f>
        <v/>
      </c>
      <c r="O247" s="99">
        <f>IF(OR(K247="",G247="",G247=0),"",IF(E247="LONG",(K247-G247)/G247,(G247-K247)/G247))</f>
        <v/>
      </c>
      <c r="P247" s="100">
        <f>IF(OR(N247="",H247="",G247="",ABS(G247-H247)=0),"",N247/(ABS(G247-H247)*J247))</f>
        <v/>
      </c>
      <c r="Q247" s="74">
        <f>IF(N247="","",IF(N247&gt;0,"WIN",IF(N247&lt;0,"LOSS","FLAT")))</f>
        <v/>
      </c>
      <c r="AC247" s="98">
        <f>IF(N247="","",N247-IF(Z247="",0,Z247))</f>
        <v/>
      </c>
    </row>
    <row r="248" ht="15" customHeight="1" s="75">
      <c r="A248" s="74">
        <f>IF(B248="","",ROW()-1)</f>
        <v/>
      </c>
      <c r="N248" s="98">
        <f>IF(OR(K248="",G248="",J248=""),"",IF(E248="LONG",(K248-G248)*J248,(G248-K248)*J248))</f>
        <v/>
      </c>
      <c r="O248" s="99">
        <f>IF(OR(K248="",G248="",G248=0),"",IF(E248="LONG",(K248-G248)/G248,(G248-K248)/G248))</f>
        <v/>
      </c>
      <c r="P248" s="100">
        <f>IF(OR(N248="",H248="",G248="",ABS(G248-H248)=0),"",N248/(ABS(G248-H248)*J248))</f>
        <v/>
      </c>
      <c r="Q248" s="74">
        <f>IF(N248="","",IF(N248&gt;0,"WIN",IF(N248&lt;0,"LOSS","FLAT")))</f>
        <v/>
      </c>
      <c r="AC248" s="98">
        <f>IF(N248="","",N248-IF(Z248="",0,Z248))</f>
        <v/>
      </c>
    </row>
    <row r="249" ht="15" customHeight="1" s="75">
      <c r="A249" s="74">
        <f>IF(B249="","",ROW()-1)</f>
        <v/>
      </c>
      <c r="N249" s="98">
        <f>IF(OR(K249="",G249="",J249=""),"",IF(E249="LONG",(K249-G249)*J249,(G249-K249)*J249))</f>
        <v/>
      </c>
      <c r="O249" s="99">
        <f>IF(OR(K249="",G249="",G249=0),"",IF(E249="LONG",(K249-G249)/G249,(G249-K249)/G249))</f>
        <v/>
      </c>
      <c r="P249" s="100">
        <f>IF(OR(N249="",H249="",G249="",ABS(G249-H249)=0),"",N249/(ABS(G249-H249)*J249))</f>
        <v/>
      </c>
      <c r="Q249" s="74">
        <f>IF(N249="","",IF(N249&gt;0,"WIN",IF(N249&lt;0,"LOSS","FLAT")))</f>
        <v/>
      </c>
      <c r="AC249" s="98">
        <f>IF(N249="","",N249-IF(Z249="",0,Z249))</f>
        <v/>
      </c>
    </row>
    <row r="250" ht="15" customHeight="1" s="75">
      <c r="A250" s="74">
        <f>IF(B250="","",ROW()-1)</f>
        <v/>
      </c>
      <c r="N250" s="98">
        <f>IF(OR(K250="",G250="",J250=""),"",IF(E250="LONG",(K250-G250)*J250,(G250-K250)*J250))</f>
        <v/>
      </c>
      <c r="O250" s="99">
        <f>IF(OR(K250="",G250="",G250=0),"",IF(E250="LONG",(K250-G250)/G250,(G250-K250)/G250))</f>
        <v/>
      </c>
      <c r="P250" s="100">
        <f>IF(OR(N250="",H250="",G250="",ABS(G250-H250)=0),"",N250/(ABS(G250-H250)*J250))</f>
        <v/>
      </c>
      <c r="Q250" s="74">
        <f>IF(N250="","",IF(N250&gt;0,"WIN",IF(N250&lt;0,"LOSS","FLAT")))</f>
        <v/>
      </c>
      <c r="AC250" s="98">
        <f>IF(N250="","",N250-IF(Z250="",0,Z250))</f>
        <v/>
      </c>
    </row>
    <row r="251" ht="15" customHeight="1" s="75">
      <c r="A251" s="74">
        <f>IF(B251="","",ROW()-1)</f>
        <v/>
      </c>
      <c r="N251" s="98">
        <f>IF(OR(K251="",G251="",J251=""),"",IF(E251="LONG",(K251-G251)*J251,(G251-K251)*J251))</f>
        <v/>
      </c>
      <c r="O251" s="99">
        <f>IF(OR(K251="",G251="",G251=0),"",IF(E251="LONG",(K251-G251)/G251,(G251-K251)/G251))</f>
        <v/>
      </c>
      <c r="P251" s="100">
        <f>IF(OR(N251="",H251="",G251="",ABS(G251-H251)=0),"",N251/(ABS(G251-H251)*J251))</f>
        <v/>
      </c>
      <c r="Q251" s="74">
        <f>IF(N251="","",IF(N251&gt;0,"WIN",IF(N251&lt;0,"LOSS","FLAT")))</f>
        <v/>
      </c>
      <c r="AC251" s="98">
        <f>IF(N251="","",N251-IF(Z251="",0,Z251))</f>
        <v/>
      </c>
    </row>
    <row r="252" ht="15" customHeight="1" s="75">
      <c r="A252" s="74">
        <f>IF(B252="","",ROW()-1)</f>
        <v/>
      </c>
      <c r="N252" s="98">
        <f>IF(OR(K252="",G252="",J252=""),"",IF(E252="LONG",(K252-G252)*J252,(G252-K252)*J252))</f>
        <v/>
      </c>
      <c r="O252" s="99">
        <f>IF(OR(K252="",G252="",G252=0),"",IF(E252="LONG",(K252-G252)/G252,(G252-K252)/G252))</f>
        <v/>
      </c>
      <c r="P252" s="100">
        <f>IF(OR(N252="",H252="",G252="",ABS(G252-H252)=0),"",N252/(ABS(G252-H252)*J252))</f>
        <v/>
      </c>
      <c r="Q252" s="74">
        <f>IF(N252="","",IF(N252&gt;0,"WIN",IF(N252&lt;0,"LOSS","FLAT")))</f>
        <v/>
      </c>
      <c r="AC252" s="98">
        <f>IF(N252="","",N252-IF(Z252="",0,Z252))</f>
        <v/>
      </c>
    </row>
    <row r="253" ht="15" customHeight="1" s="75">
      <c r="A253" s="74">
        <f>IF(B253="","",ROW()-1)</f>
        <v/>
      </c>
      <c r="N253" s="98">
        <f>IF(OR(K253="",G253="",J253=""),"",IF(E253="LONG",(K253-G253)*J253,(G253-K253)*J253))</f>
        <v/>
      </c>
      <c r="O253" s="99">
        <f>IF(OR(K253="",G253="",G253=0),"",IF(E253="LONG",(K253-G253)/G253,(G253-K253)/G253))</f>
        <v/>
      </c>
      <c r="P253" s="100">
        <f>IF(OR(N253="",H253="",G253="",ABS(G253-H253)=0),"",N253/(ABS(G253-H253)*J253))</f>
        <v/>
      </c>
      <c r="Q253" s="74">
        <f>IF(N253="","",IF(N253&gt;0,"WIN",IF(N253&lt;0,"LOSS","FLAT")))</f>
        <v/>
      </c>
      <c r="AC253" s="98">
        <f>IF(N253="","",N253-IF(Z253="",0,Z253))</f>
        <v/>
      </c>
    </row>
    <row r="254" ht="15" customHeight="1" s="75">
      <c r="A254" s="74">
        <f>IF(B254="","",ROW()-1)</f>
        <v/>
      </c>
      <c r="N254" s="98">
        <f>IF(OR(K254="",G254="",J254=""),"",IF(E254="LONG",(K254-G254)*J254,(G254-K254)*J254))</f>
        <v/>
      </c>
      <c r="O254" s="99">
        <f>IF(OR(K254="",G254="",G254=0),"",IF(E254="LONG",(K254-G254)/G254,(G254-K254)/G254))</f>
        <v/>
      </c>
      <c r="P254" s="100">
        <f>IF(OR(N254="",H254="",G254="",ABS(G254-H254)=0),"",N254/(ABS(G254-H254)*J254))</f>
        <v/>
      </c>
      <c r="Q254" s="74">
        <f>IF(N254="","",IF(N254&gt;0,"WIN",IF(N254&lt;0,"LOSS","FLAT")))</f>
        <v/>
      </c>
      <c r="AC254" s="98">
        <f>IF(N254="","",N254-IF(Z254="",0,Z254))</f>
        <v/>
      </c>
    </row>
    <row r="255" ht="15" customHeight="1" s="75">
      <c r="A255" s="74">
        <f>IF(B255="","",ROW()-1)</f>
        <v/>
      </c>
      <c r="N255" s="98">
        <f>IF(OR(K255="",G255="",J255=""),"",IF(E255="LONG",(K255-G255)*J255,(G255-K255)*J255))</f>
        <v/>
      </c>
      <c r="O255" s="99">
        <f>IF(OR(K255="",G255="",G255=0),"",IF(E255="LONG",(K255-G255)/G255,(G255-K255)/G255))</f>
        <v/>
      </c>
      <c r="P255" s="100">
        <f>IF(OR(N255="",H255="",G255="",ABS(G255-H255)=0),"",N255/(ABS(G255-H255)*J255))</f>
        <v/>
      </c>
      <c r="Q255" s="74">
        <f>IF(N255="","",IF(N255&gt;0,"WIN",IF(N255&lt;0,"LOSS","FLAT")))</f>
        <v/>
      </c>
      <c r="AC255" s="98">
        <f>IF(N255="","",N255-IF(Z255="",0,Z255))</f>
        <v/>
      </c>
    </row>
    <row r="256" ht="15" customHeight="1" s="75">
      <c r="A256" s="74">
        <f>IF(B256="","",ROW()-1)</f>
        <v/>
      </c>
      <c r="N256" s="98">
        <f>IF(OR(K256="",G256="",J256=""),"",IF(E256="LONG",(K256-G256)*J256,(G256-K256)*J256))</f>
        <v/>
      </c>
      <c r="O256" s="99">
        <f>IF(OR(K256="",G256="",G256=0),"",IF(E256="LONG",(K256-G256)/G256,(G256-K256)/G256))</f>
        <v/>
      </c>
      <c r="P256" s="100">
        <f>IF(OR(N256="",H256="",G256="",ABS(G256-H256)=0),"",N256/(ABS(G256-H256)*J256))</f>
        <v/>
      </c>
      <c r="Q256" s="74">
        <f>IF(N256="","",IF(N256&gt;0,"WIN",IF(N256&lt;0,"LOSS","FLAT")))</f>
        <v/>
      </c>
      <c r="AC256" s="98">
        <f>IF(N256="","",N256-IF(Z256="",0,Z256))</f>
        <v/>
      </c>
    </row>
    <row r="257" ht="15" customHeight="1" s="75">
      <c r="A257" s="74">
        <f>IF(B257="","",ROW()-1)</f>
        <v/>
      </c>
      <c r="N257" s="98">
        <f>IF(OR(K257="",G257="",J257=""),"",IF(E257="LONG",(K257-G257)*J257,(G257-K257)*J257))</f>
        <v/>
      </c>
      <c r="O257" s="99">
        <f>IF(OR(K257="",G257="",G257=0),"",IF(E257="LONG",(K257-G257)/G257,(G257-K257)/G257))</f>
        <v/>
      </c>
      <c r="P257" s="100">
        <f>IF(OR(N257="",H257="",G257="",ABS(G257-H257)=0),"",N257/(ABS(G257-H257)*J257))</f>
        <v/>
      </c>
      <c r="Q257" s="74">
        <f>IF(N257="","",IF(N257&gt;0,"WIN",IF(N257&lt;0,"LOSS","FLAT")))</f>
        <v/>
      </c>
      <c r="AC257" s="98">
        <f>IF(N257="","",N257-IF(Z257="",0,Z257))</f>
        <v/>
      </c>
    </row>
    <row r="258" ht="15" customHeight="1" s="75">
      <c r="A258" s="74">
        <f>IF(B258="","",ROW()-1)</f>
        <v/>
      </c>
      <c r="N258" s="98">
        <f>IF(OR(K258="",G258="",J258=""),"",IF(E258="LONG",(K258-G258)*J258,(G258-K258)*J258))</f>
        <v/>
      </c>
      <c r="O258" s="99">
        <f>IF(OR(K258="",G258="",G258=0),"",IF(E258="LONG",(K258-G258)/G258,(G258-K258)/G258))</f>
        <v/>
      </c>
      <c r="P258" s="100">
        <f>IF(OR(N258="",H258="",G258="",ABS(G258-H258)=0),"",N258/(ABS(G258-H258)*J258))</f>
        <v/>
      </c>
      <c r="Q258" s="74">
        <f>IF(N258="","",IF(N258&gt;0,"WIN",IF(N258&lt;0,"LOSS","FLAT")))</f>
        <v/>
      </c>
      <c r="AC258" s="98">
        <f>IF(N258="","",N258-IF(Z258="",0,Z258))</f>
        <v/>
      </c>
    </row>
    <row r="259" ht="15" customHeight="1" s="75">
      <c r="A259" s="74">
        <f>IF(B259="","",ROW()-1)</f>
        <v/>
      </c>
      <c r="N259" s="98">
        <f>IF(OR(K259="",G259="",J259=""),"",IF(E259="LONG",(K259-G259)*J259,(G259-K259)*J259))</f>
        <v/>
      </c>
      <c r="O259" s="99">
        <f>IF(OR(K259="",G259="",G259=0),"",IF(E259="LONG",(K259-G259)/G259,(G259-K259)/G259))</f>
        <v/>
      </c>
      <c r="P259" s="100">
        <f>IF(OR(N259="",H259="",G259="",ABS(G259-H259)=0),"",N259/(ABS(G259-H259)*J259))</f>
        <v/>
      </c>
      <c r="Q259" s="74">
        <f>IF(N259="","",IF(N259&gt;0,"WIN",IF(N259&lt;0,"LOSS","FLAT")))</f>
        <v/>
      </c>
      <c r="AC259" s="98">
        <f>IF(N259="","",N259-IF(Z259="",0,Z259))</f>
        <v/>
      </c>
    </row>
    <row r="260" ht="15" customHeight="1" s="75">
      <c r="A260" s="74">
        <f>IF(B260="","",ROW()-1)</f>
        <v/>
      </c>
      <c r="N260" s="98">
        <f>IF(OR(K260="",G260="",J260=""),"",IF(E260="LONG",(K260-G260)*J260,(G260-K260)*J260))</f>
        <v/>
      </c>
      <c r="O260" s="99">
        <f>IF(OR(K260="",G260="",G260=0),"",IF(E260="LONG",(K260-G260)/G260,(G260-K260)/G260))</f>
        <v/>
      </c>
      <c r="P260" s="100">
        <f>IF(OR(N260="",H260="",G260="",ABS(G260-H260)=0),"",N260/(ABS(G260-H260)*J260))</f>
        <v/>
      </c>
      <c r="Q260" s="74">
        <f>IF(N260="","",IF(N260&gt;0,"WIN",IF(N260&lt;0,"LOSS","FLAT")))</f>
        <v/>
      </c>
      <c r="AC260" s="98">
        <f>IF(N260="","",N260-IF(Z260="",0,Z260))</f>
        <v/>
      </c>
    </row>
    <row r="261" ht="15" customHeight="1" s="75">
      <c r="A261" s="74">
        <f>IF(B261="","",ROW()-1)</f>
        <v/>
      </c>
      <c r="N261" s="98">
        <f>IF(OR(K261="",G261="",J261=""),"",IF(E261="LONG",(K261-G261)*J261,(G261-K261)*J261))</f>
        <v/>
      </c>
      <c r="O261" s="99">
        <f>IF(OR(K261="",G261="",G261=0),"",IF(E261="LONG",(K261-G261)/G261,(G261-K261)/G261))</f>
        <v/>
      </c>
      <c r="P261" s="100">
        <f>IF(OR(N261="",H261="",G261="",ABS(G261-H261)=0),"",N261/(ABS(G261-H261)*J261))</f>
        <v/>
      </c>
      <c r="Q261" s="74">
        <f>IF(N261="","",IF(N261&gt;0,"WIN",IF(N261&lt;0,"LOSS","FLAT")))</f>
        <v/>
      </c>
      <c r="AC261" s="98">
        <f>IF(N261="","",N261-IF(Z261="",0,Z261))</f>
        <v/>
      </c>
    </row>
    <row r="262" ht="15" customHeight="1" s="75">
      <c r="A262" s="74">
        <f>IF(B262="","",ROW()-1)</f>
        <v/>
      </c>
      <c r="N262" s="98">
        <f>IF(OR(K262="",G262="",J262=""),"",IF(E262="LONG",(K262-G262)*J262,(G262-K262)*J262))</f>
        <v/>
      </c>
      <c r="O262" s="99">
        <f>IF(OR(K262="",G262="",G262=0),"",IF(E262="LONG",(K262-G262)/G262,(G262-K262)/G262))</f>
        <v/>
      </c>
      <c r="P262" s="100">
        <f>IF(OR(N262="",H262="",G262="",ABS(G262-H262)=0),"",N262/(ABS(G262-H262)*J262))</f>
        <v/>
      </c>
      <c r="Q262" s="74">
        <f>IF(N262="","",IF(N262&gt;0,"WIN",IF(N262&lt;0,"LOSS","FLAT")))</f>
        <v/>
      </c>
      <c r="AC262" s="98">
        <f>IF(N262="","",N262-IF(Z262="",0,Z262))</f>
        <v/>
      </c>
    </row>
    <row r="263" ht="15" customHeight="1" s="75">
      <c r="A263" s="74">
        <f>IF(B263="","",ROW()-1)</f>
        <v/>
      </c>
      <c r="N263" s="98">
        <f>IF(OR(K263="",G263="",J263=""),"",IF(E263="LONG",(K263-G263)*J263,(G263-K263)*J263))</f>
        <v/>
      </c>
      <c r="O263" s="99">
        <f>IF(OR(K263="",G263="",G263=0),"",IF(E263="LONG",(K263-G263)/G263,(G263-K263)/G263))</f>
        <v/>
      </c>
      <c r="P263" s="100">
        <f>IF(OR(N263="",H263="",G263="",ABS(G263-H263)=0),"",N263/(ABS(G263-H263)*J263))</f>
        <v/>
      </c>
      <c r="Q263" s="74">
        <f>IF(N263="","",IF(N263&gt;0,"WIN",IF(N263&lt;0,"LOSS","FLAT")))</f>
        <v/>
      </c>
      <c r="AC263" s="98">
        <f>IF(N263="","",N263-IF(Z263="",0,Z263))</f>
        <v/>
      </c>
    </row>
    <row r="264" ht="15" customHeight="1" s="75">
      <c r="A264" s="74">
        <f>IF(B264="","",ROW()-1)</f>
        <v/>
      </c>
      <c r="N264" s="98">
        <f>IF(OR(K264="",G264="",J264=""),"",IF(E264="LONG",(K264-G264)*J264,(G264-K264)*J264))</f>
        <v/>
      </c>
      <c r="O264" s="99">
        <f>IF(OR(K264="",G264="",G264=0),"",IF(E264="LONG",(K264-G264)/G264,(G264-K264)/G264))</f>
        <v/>
      </c>
      <c r="P264" s="100">
        <f>IF(OR(N264="",H264="",G264="",ABS(G264-H264)=0),"",N264/(ABS(G264-H264)*J264))</f>
        <v/>
      </c>
      <c r="Q264" s="74">
        <f>IF(N264="","",IF(N264&gt;0,"WIN",IF(N264&lt;0,"LOSS","FLAT")))</f>
        <v/>
      </c>
      <c r="AC264" s="98">
        <f>IF(N264="","",N264-IF(Z264="",0,Z264))</f>
        <v/>
      </c>
    </row>
    <row r="265" ht="15" customHeight="1" s="75">
      <c r="A265" s="74">
        <f>IF(B265="","",ROW()-1)</f>
        <v/>
      </c>
      <c r="N265" s="98">
        <f>IF(OR(K265="",G265="",J265=""),"",IF(E265="LONG",(K265-G265)*J265,(G265-K265)*J265))</f>
        <v/>
      </c>
      <c r="O265" s="99">
        <f>IF(OR(K265="",G265="",G265=0),"",IF(E265="LONG",(K265-G265)/G265,(G265-K265)/G265))</f>
        <v/>
      </c>
      <c r="P265" s="100">
        <f>IF(OR(N265="",H265="",G265="",ABS(G265-H265)=0),"",N265/(ABS(G265-H265)*J265))</f>
        <v/>
      </c>
      <c r="Q265" s="74">
        <f>IF(N265="","",IF(N265&gt;0,"WIN",IF(N265&lt;0,"LOSS","FLAT")))</f>
        <v/>
      </c>
      <c r="AC265" s="98">
        <f>IF(N265="","",N265-IF(Z265="",0,Z265))</f>
        <v/>
      </c>
    </row>
    <row r="266" ht="15" customHeight="1" s="75">
      <c r="A266" s="74">
        <f>IF(B266="","",ROW()-1)</f>
        <v/>
      </c>
      <c r="N266" s="98">
        <f>IF(OR(K266="",G266="",J266=""),"",IF(E266="LONG",(K266-G266)*J266,(G266-K266)*J266))</f>
        <v/>
      </c>
      <c r="O266" s="99">
        <f>IF(OR(K266="",G266="",G266=0),"",IF(E266="LONG",(K266-G266)/G266,(G266-K266)/G266))</f>
        <v/>
      </c>
      <c r="P266" s="100">
        <f>IF(OR(N266="",H266="",G266="",ABS(G266-H266)=0),"",N266/(ABS(G266-H266)*J266))</f>
        <v/>
      </c>
      <c r="Q266" s="74">
        <f>IF(N266="","",IF(N266&gt;0,"WIN",IF(N266&lt;0,"LOSS","FLAT")))</f>
        <v/>
      </c>
      <c r="AC266" s="98">
        <f>IF(N266="","",N266-IF(Z266="",0,Z266))</f>
        <v/>
      </c>
    </row>
    <row r="267" ht="15" customHeight="1" s="75">
      <c r="A267" s="74">
        <f>IF(B267="","",ROW()-1)</f>
        <v/>
      </c>
      <c r="N267" s="98">
        <f>IF(OR(K267="",G267="",J267=""),"",IF(E267="LONG",(K267-G267)*J267,(G267-K267)*J267))</f>
        <v/>
      </c>
      <c r="O267" s="99">
        <f>IF(OR(K267="",G267="",G267=0),"",IF(E267="LONG",(K267-G267)/G267,(G267-K267)/G267))</f>
        <v/>
      </c>
      <c r="P267" s="100">
        <f>IF(OR(N267="",H267="",G267="",ABS(G267-H267)=0),"",N267/(ABS(G267-H267)*J267))</f>
        <v/>
      </c>
      <c r="Q267" s="74">
        <f>IF(N267="","",IF(N267&gt;0,"WIN",IF(N267&lt;0,"LOSS","FLAT")))</f>
        <v/>
      </c>
      <c r="AC267" s="98">
        <f>IF(N267="","",N267-IF(Z267="",0,Z267))</f>
        <v/>
      </c>
    </row>
    <row r="268" ht="15" customHeight="1" s="75">
      <c r="A268" s="74">
        <f>IF(B268="","",ROW()-1)</f>
        <v/>
      </c>
      <c r="N268" s="98">
        <f>IF(OR(K268="",G268="",J268=""),"",IF(E268="LONG",(K268-G268)*J268,(G268-K268)*J268))</f>
        <v/>
      </c>
      <c r="O268" s="99">
        <f>IF(OR(K268="",G268="",G268=0),"",IF(E268="LONG",(K268-G268)/G268,(G268-K268)/G268))</f>
        <v/>
      </c>
      <c r="P268" s="100">
        <f>IF(OR(N268="",H268="",G268="",ABS(G268-H268)=0),"",N268/(ABS(G268-H268)*J268))</f>
        <v/>
      </c>
      <c r="Q268" s="74">
        <f>IF(N268="","",IF(N268&gt;0,"WIN",IF(N268&lt;0,"LOSS","FLAT")))</f>
        <v/>
      </c>
      <c r="AC268" s="98">
        <f>IF(N268="","",N268-IF(Z268="",0,Z268))</f>
        <v/>
      </c>
    </row>
    <row r="269" ht="15" customHeight="1" s="75">
      <c r="A269" s="74">
        <f>IF(B269="","",ROW()-1)</f>
        <v/>
      </c>
      <c r="N269" s="98">
        <f>IF(OR(K269="",G269="",J269=""),"",IF(E269="LONG",(K269-G269)*J269,(G269-K269)*J269))</f>
        <v/>
      </c>
      <c r="O269" s="99">
        <f>IF(OR(K269="",G269="",G269=0),"",IF(E269="LONG",(K269-G269)/G269,(G269-K269)/G269))</f>
        <v/>
      </c>
      <c r="P269" s="100">
        <f>IF(OR(N269="",H269="",G269="",ABS(G269-H269)=0),"",N269/(ABS(G269-H269)*J269))</f>
        <v/>
      </c>
      <c r="Q269" s="74">
        <f>IF(N269="","",IF(N269&gt;0,"WIN",IF(N269&lt;0,"LOSS","FLAT")))</f>
        <v/>
      </c>
      <c r="AC269" s="98">
        <f>IF(N269="","",N269-IF(Z269="",0,Z269))</f>
        <v/>
      </c>
    </row>
    <row r="270" ht="15" customHeight="1" s="75">
      <c r="A270" s="74">
        <f>IF(B270="","",ROW()-1)</f>
        <v/>
      </c>
      <c r="N270" s="98">
        <f>IF(OR(K270="",G270="",J270=""),"",IF(E270="LONG",(K270-G270)*J270,(G270-K270)*J270))</f>
        <v/>
      </c>
      <c r="O270" s="99">
        <f>IF(OR(K270="",G270="",G270=0),"",IF(E270="LONG",(K270-G270)/G270,(G270-K270)/G270))</f>
        <v/>
      </c>
      <c r="P270" s="100">
        <f>IF(OR(N270="",H270="",G270="",ABS(G270-H270)=0),"",N270/(ABS(G270-H270)*J270))</f>
        <v/>
      </c>
      <c r="Q270" s="74">
        <f>IF(N270="","",IF(N270&gt;0,"WIN",IF(N270&lt;0,"LOSS","FLAT")))</f>
        <v/>
      </c>
      <c r="AC270" s="98">
        <f>IF(N270="","",N270-IF(Z270="",0,Z270))</f>
        <v/>
      </c>
    </row>
    <row r="271" ht="15" customHeight="1" s="75">
      <c r="A271" s="74">
        <f>IF(B271="","",ROW()-1)</f>
        <v/>
      </c>
      <c r="N271" s="98">
        <f>IF(OR(K271="",G271="",J271=""),"",IF(E271="LONG",(K271-G271)*J271,(G271-K271)*J271))</f>
        <v/>
      </c>
      <c r="O271" s="99">
        <f>IF(OR(K271="",G271="",G271=0),"",IF(E271="LONG",(K271-G271)/G271,(G271-K271)/G271))</f>
        <v/>
      </c>
      <c r="P271" s="100">
        <f>IF(OR(N271="",H271="",G271="",ABS(G271-H271)=0),"",N271/(ABS(G271-H271)*J271))</f>
        <v/>
      </c>
      <c r="Q271" s="74">
        <f>IF(N271="","",IF(N271&gt;0,"WIN",IF(N271&lt;0,"LOSS","FLAT")))</f>
        <v/>
      </c>
      <c r="AC271" s="98">
        <f>IF(N271="","",N271-IF(Z271="",0,Z271))</f>
        <v/>
      </c>
    </row>
    <row r="272" ht="15" customHeight="1" s="75">
      <c r="A272" s="74">
        <f>IF(B272="","",ROW()-1)</f>
        <v/>
      </c>
      <c r="N272" s="98">
        <f>IF(OR(K272="",G272="",J272=""),"",IF(E272="LONG",(K272-G272)*J272,(G272-K272)*J272))</f>
        <v/>
      </c>
      <c r="O272" s="99">
        <f>IF(OR(K272="",G272="",G272=0),"",IF(E272="LONG",(K272-G272)/G272,(G272-K272)/G272))</f>
        <v/>
      </c>
      <c r="P272" s="100">
        <f>IF(OR(N272="",H272="",G272="",ABS(G272-H272)=0),"",N272/(ABS(G272-H272)*J272))</f>
        <v/>
      </c>
      <c r="Q272" s="74">
        <f>IF(N272="","",IF(N272&gt;0,"WIN",IF(N272&lt;0,"LOSS","FLAT")))</f>
        <v/>
      </c>
      <c r="AC272" s="98">
        <f>IF(N272="","",N272-IF(Z272="",0,Z272))</f>
        <v/>
      </c>
    </row>
    <row r="273" ht="15" customHeight="1" s="75">
      <c r="A273" s="74">
        <f>IF(B273="","",ROW()-1)</f>
        <v/>
      </c>
      <c r="N273" s="98">
        <f>IF(OR(K273="",G273="",J273=""),"",IF(E273="LONG",(K273-G273)*J273,(G273-K273)*J273))</f>
        <v/>
      </c>
      <c r="O273" s="99">
        <f>IF(OR(K273="",G273="",G273=0),"",IF(E273="LONG",(K273-G273)/G273,(G273-K273)/G273))</f>
        <v/>
      </c>
      <c r="P273" s="100">
        <f>IF(OR(N273="",H273="",G273="",ABS(G273-H273)=0),"",N273/(ABS(G273-H273)*J273))</f>
        <v/>
      </c>
      <c r="Q273" s="74">
        <f>IF(N273="","",IF(N273&gt;0,"WIN",IF(N273&lt;0,"LOSS","FLAT")))</f>
        <v/>
      </c>
      <c r="AC273" s="98">
        <f>IF(N273="","",N273-IF(Z273="",0,Z273))</f>
        <v/>
      </c>
    </row>
    <row r="274" ht="15" customHeight="1" s="75">
      <c r="A274" s="74">
        <f>IF(B274="","",ROW()-1)</f>
        <v/>
      </c>
      <c r="N274" s="98">
        <f>IF(OR(K274="",G274="",J274=""),"",IF(E274="LONG",(K274-G274)*J274,(G274-K274)*J274))</f>
        <v/>
      </c>
      <c r="O274" s="99">
        <f>IF(OR(K274="",G274="",G274=0),"",IF(E274="LONG",(K274-G274)/G274,(G274-K274)/G274))</f>
        <v/>
      </c>
      <c r="P274" s="100">
        <f>IF(OR(N274="",H274="",G274="",ABS(G274-H274)=0),"",N274/(ABS(G274-H274)*J274))</f>
        <v/>
      </c>
      <c r="Q274" s="74">
        <f>IF(N274="","",IF(N274&gt;0,"WIN",IF(N274&lt;0,"LOSS","FLAT")))</f>
        <v/>
      </c>
      <c r="AC274" s="98">
        <f>IF(N274="","",N274-IF(Z274="",0,Z274))</f>
        <v/>
      </c>
    </row>
    <row r="275" ht="15" customHeight="1" s="75">
      <c r="A275" s="74">
        <f>IF(B275="","",ROW()-1)</f>
        <v/>
      </c>
      <c r="N275" s="98">
        <f>IF(OR(K275="",G275="",J275=""),"",IF(E275="LONG",(K275-G275)*J275,(G275-K275)*J275))</f>
        <v/>
      </c>
      <c r="O275" s="99">
        <f>IF(OR(K275="",G275="",G275=0),"",IF(E275="LONG",(K275-G275)/G275,(G275-K275)/G275))</f>
        <v/>
      </c>
      <c r="P275" s="100">
        <f>IF(OR(N275="",H275="",G275="",ABS(G275-H275)=0),"",N275/(ABS(G275-H275)*J275))</f>
        <v/>
      </c>
      <c r="Q275" s="74">
        <f>IF(N275="","",IF(N275&gt;0,"WIN",IF(N275&lt;0,"LOSS","FLAT")))</f>
        <v/>
      </c>
      <c r="AC275" s="98">
        <f>IF(N275="","",N275-IF(Z275="",0,Z275))</f>
        <v/>
      </c>
    </row>
    <row r="276" ht="15" customHeight="1" s="75">
      <c r="A276" s="74">
        <f>IF(B276="","",ROW()-1)</f>
        <v/>
      </c>
      <c r="N276" s="98">
        <f>IF(OR(K276="",G276="",J276=""),"",IF(E276="LONG",(K276-G276)*J276,(G276-K276)*J276))</f>
        <v/>
      </c>
      <c r="O276" s="99">
        <f>IF(OR(K276="",G276="",G276=0),"",IF(E276="LONG",(K276-G276)/G276,(G276-K276)/G276))</f>
        <v/>
      </c>
      <c r="P276" s="100">
        <f>IF(OR(N276="",H276="",G276="",ABS(G276-H276)=0),"",N276/(ABS(G276-H276)*J276))</f>
        <v/>
      </c>
      <c r="Q276" s="74">
        <f>IF(N276="","",IF(N276&gt;0,"WIN",IF(N276&lt;0,"LOSS","FLAT")))</f>
        <v/>
      </c>
      <c r="AC276" s="98">
        <f>IF(N276="","",N276-IF(Z276="",0,Z276))</f>
        <v/>
      </c>
    </row>
    <row r="277" ht="15" customHeight="1" s="75">
      <c r="A277" s="74">
        <f>IF(B277="","",ROW()-1)</f>
        <v/>
      </c>
      <c r="N277" s="98">
        <f>IF(OR(K277="",G277="",J277=""),"",IF(E277="LONG",(K277-G277)*J277,(G277-K277)*J277))</f>
        <v/>
      </c>
      <c r="O277" s="99">
        <f>IF(OR(K277="",G277="",G277=0),"",IF(E277="LONG",(K277-G277)/G277,(G277-K277)/G277))</f>
        <v/>
      </c>
      <c r="P277" s="100">
        <f>IF(OR(N277="",H277="",G277="",ABS(G277-H277)=0),"",N277/(ABS(G277-H277)*J277))</f>
        <v/>
      </c>
      <c r="Q277" s="74">
        <f>IF(N277="","",IF(N277&gt;0,"WIN",IF(N277&lt;0,"LOSS","FLAT")))</f>
        <v/>
      </c>
      <c r="AC277" s="98">
        <f>IF(N277="","",N277-IF(Z277="",0,Z277))</f>
        <v/>
      </c>
    </row>
    <row r="278" ht="15" customHeight="1" s="75">
      <c r="A278" s="74">
        <f>IF(B278="","",ROW()-1)</f>
        <v/>
      </c>
      <c r="N278" s="98">
        <f>IF(OR(K278="",G278="",J278=""),"",IF(E278="LONG",(K278-G278)*J278,(G278-K278)*J278))</f>
        <v/>
      </c>
      <c r="O278" s="99">
        <f>IF(OR(K278="",G278="",G278=0),"",IF(E278="LONG",(K278-G278)/G278,(G278-K278)/G278))</f>
        <v/>
      </c>
      <c r="P278" s="100">
        <f>IF(OR(N278="",H278="",G278="",ABS(G278-H278)=0),"",N278/(ABS(G278-H278)*J278))</f>
        <v/>
      </c>
      <c r="Q278" s="74">
        <f>IF(N278="","",IF(N278&gt;0,"WIN",IF(N278&lt;0,"LOSS","FLAT")))</f>
        <v/>
      </c>
      <c r="AC278" s="98">
        <f>IF(N278="","",N278-IF(Z278="",0,Z278))</f>
        <v/>
      </c>
    </row>
    <row r="279" ht="15" customHeight="1" s="75">
      <c r="A279" s="74">
        <f>IF(B279="","",ROW()-1)</f>
        <v/>
      </c>
      <c r="N279" s="98">
        <f>IF(OR(K279="",G279="",J279=""),"",IF(E279="LONG",(K279-G279)*J279,(G279-K279)*J279))</f>
        <v/>
      </c>
      <c r="O279" s="99">
        <f>IF(OR(K279="",G279="",G279=0),"",IF(E279="LONG",(K279-G279)/G279,(G279-K279)/G279))</f>
        <v/>
      </c>
      <c r="P279" s="100">
        <f>IF(OR(N279="",H279="",G279="",ABS(G279-H279)=0),"",N279/(ABS(G279-H279)*J279))</f>
        <v/>
      </c>
      <c r="Q279" s="74">
        <f>IF(N279="","",IF(N279&gt;0,"WIN",IF(N279&lt;0,"LOSS","FLAT")))</f>
        <v/>
      </c>
      <c r="AC279" s="98">
        <f>IF(N279="","",N279-IF(Z279="",0,Z279))</f>
        <v/>
      </c>
    </row>
    <row r="280" ht="15" customHeight="1" s="75">
      <c r="A280" s="74">
        <f>IF(B280="","",ROW()-1)</f>
        <v/>
      </c>
      <c r="N280" s="98">
        <f>IF(OR(K280="",G280="",J280=""),"",IF(E280="LONG",(K280-G280)*J280,(G280-K280)*J280))</f>
        <v/>
      </c>
      <c r="O280" s="99">
        <f>IF(OR(K280="",G280="",G280=0),"",IF(E280="LONG",(K280-G280)/G280,(G280-K280)/G280))</f>
        <v/>
      </c>
      <c r="P280" s="100">
        <f>IF(OR(N280="",H280="",G280="",ABS(G280-H280)=0),"",N280/(ABS(G280-H280)*J280))</f>
        <v/>
      </c>
      <c r="Q280" s="74">
        <f>IF(N280="","",IF(N280&gt;0,"WIN",IF(N280&lt;0,"LOSS","FLAT")))</f>
        <v/>
      </c>
      <c r="AC280" s="98">
        <f>IF(N280="","",N280-IF(Z280="",0,Z280))</f>
        <v/>
      </c>
    </row>
    <row r="281" ht="15" customHeight="1" s="75">
      <c r="A281" s="74">
        <f>IF(B281="","",ROW()-1)</f>
        <v/>
      </c>
      <c r="N281" s="98">
        <f>IF(OR(K281="",G281="",J281=""),"",IF(E281="LONG",(K281-G281)*J281,(G281-K281)*J281))</f>
        <v/>
      </c>
      <c r="O281" s="99">
        <f>IF(OR(K281="",G281="",G281=0),"",IF(E281="LONG",(K281-G281)/G281,(G281-K281)/G281))</f>
        <v/>
      </c>
      <c r="P281" s="100">
        <f>IF(OR(N281="",H281="",G281="",ABS(G281-H281)=0),"",N281/(ABS(G281-H281)*J281))</f>
        <v/>
      </c>
      <c r="Q281" s="74">
        <f>IF(N281="","",IF(N281&gt;0,"WIN",IF(N281&lt;0,"LOSS","FLAT")))</f>
        <v/>
      </c>
      <c r="AC281" s="98">
        <f>IF(N281="","",N281-IF(Z281="",0,Z281))</f>
        <v/>
      </c>
    </row>
    <row r="282" ht="15" customHeight="1" s="75">
      <c r="A282" s="74">
        <f>IF(B282="","",ROW()-1)</f>
        <v/>
      </c>
      <c r="N282" s="98">
        <f>IF(OR(K282="",G282="",J282=""),"",IF(E282="LONG",(K282-G282)*J282,(G282-K282)*J282))</f>
        <v/>
      </c>
      <c r="O282" s="99">
        <f>IF(OR(K282="",G282="",G282=0),"",IF(E282="LONG",(K282-G282)/G282,(G282-K282)/G282))</f>
        <v/>
      </c>
      <c r="P282" s="100">
        <f>IF(OR(N282="",H282="",G282="",ABS(G282-H282)=0),"",N282/(ABS(G282-H282)*J282))</f>
        <v/>
      </c>
      <c r="Q282" s="74">
        <f>IF(N282="","",IF(N282&gt;0,"WIN",IF(N282&lt;0,"LOSS","FLAT")))</f>
        <v/>
      </c>
      <c r="AC282" s="98">
        <f>IF(N282="","",N282-IF(Z282="",0,Z282))</f>
        <v/>
      </c>
    </row>
    <row r="283" ht="15" customHeight="1" s="75">
      <c r="A283" s="74">
        <f>IF(B283="","",ROW()-1)</f>
        <v/>
      </c>
      <c r="N283" s="98">
        <f>IF(OR(K283="",G283="",J283=""),"",IF(E283="LONG",(K283-G283)*J283,(G283-K283)*J283))</f>
        <v/>
      </c>
      <c r="O283" s="99">
        <f>IF(OR(K283="",G283="",G283=0),"",IF(E283="LONG",(K283-G283)/G283,(G283-K283)/G283))</f>
        <v/>
      </c>
      <c r="P283" s="100">
        <f>IF(OR(N283="",H283="",G283="",ABS(G283-H283)=0),"",N283/(ABS(G283-H283)*J283))</f>
        <v/>
      </c>
      <c r="Q283" s="74">
        <f>IF(N283="","",IF(N283&gt;0,"WIN",IF(N283&lt;0,"LOSS","FLAT")))</f>
        <v/>
      </c>
      <c r="AC283" s="98">
        <f>IF(N283="","",N283-IF(Z283="",0,Z283))</f>
        <v/>
      </c>
    </row>
    <row r="284" ht="15" customHeight="1" s="75">
      <c r="A284" s="74">
        <f>IF(B284="","",ROW()-1)</f>
        <v/>
      </c>
      <c r="N284" s="98">
        <f>IF(OR(K284="",G284="",J284=""),"",IF(E284="LONG",(K284-G284)*J284,(G284-K284)*J284))</f>
        <v/>
      </c>
      <c r="O284" s="99">
        <f>IF(OR(K284="",G284="",G284=0),"",IF(E284="LONG",(K284-G284)/G284,(G284-K284)/G284))</f>
        <v/>
      </c>
      <c r="P284" s="100">
        <f>IF(OR(N284="",H284="",G284="",ABS(G284-H284)=0),"",N284/(ABS(G284-H284)*J284))</f>
        <v/>
      </c>
      <c r="Q284" s="74">
        <f>IF(N284="","",IF(N284&gt;0,"WIN",IF(N284&lt;0,"LOSS","FLAT")))</f>
        <v/>
      </c>
      <c r="AC284" s="98">
        <f>IF(N284="","",N284-IF(Z284="",0,Z284))</f>
        <v/>
      </c>
    </row>
    <row r="285" ht="15" customHeight="1" s="75">
      <c r="A285" s="74">
        <f>IF(B285="","",ROW()-1)</f>
        <v/>
      </c>
      <c r="N285" s="98">
        <f>IF(OR(K285="",G285="",J285=""),"",IF(E285="LONG",(K285-G285)*J285,(G285-K285)*J285))</f>
        <v/>
      </c>
      <c r="O285" s="99">
        <f>IF(OR(K285="",G285="",G285=0),"",IF(E285="LONG",(K285-G285)/G285,(G285-K285)/G285))</f>
        <v/>
      </c>
      <c r="P285" s="100">
        <f>IF(OR(N285="",H285="",G285="",ABS(G285-H285)=0),"",N285/(ABS(G285-H285)*J285))</f>
        <v/>
      </c>
      <c r="Q285" s="74">
        <f>IF(N285="","",IF(N285&gt;0,"WIN",IF(N285&lt;0,"LOSS","FLAT")))</f>
        <v/>
      </c>
      <c r="AC285" s="98">
        <f>IF(N285="","",N285-IF(Z285="",0,Z285))</f>
        <v/>
      </c>
    </row>
    <row r="286" ht="15" customHeight="1" s="75">
      <c r="A286" s="74">
        <f>IF(B286="","",ROW()-1)</f>
        <v/>
      </c>
      <c r="N286" s="98">
        <f>IF(OR(K286="",G286="",J286=""),"",IF(E286="LONG",(K286-G286)*J286,(G286-K286)*J286))</f>
        <v/>
      </c>
      <c r="O286" s="99">
        <f>IF(OR(K286="",G286="",G286=0),"",IF(E286="LONG",(K286-G286)/G286,(G286-K286)/G286))</f>
        <v/>
      </c>
      <c r="P286" s="100">
        <f>IF(OR(N286="",H286="",G286="",ABS(G286-H286)=0),"",N286/(ABS(G286-H286)*J286))</f>
        <v/>
      </c>
      <c r="Q286" s="74">
        <f>IF(N286="","",IF(N286&gt;0,"WIN",IF(N286&lt;0,"LOSS","FLAT")))</f>
        <v/>
      </c>
      <c r="AC286" s="98">
        <f>IF(N286="","",N286-IF(Z286="",0,Z286))</f>
        <v/>
      </c>
    </row>
    <row r="287" ht="15" customHeight="1" s="75">
      <c r="A287" s="74">
        <f>IF(B287="","",ROW()-1)</f>
        <v/>
      </c>
      <c r="N287" s="98">
        <f>IF(OR(K287="",G287="",J287=""),"",IF(E287="LONG",(K287-G287)*J287,(G287-K287)*J287))</f>
        <v/>
      </c>
      <c r="O287" s="99">
        <f>IF(OR(K287="",G287="",G287=0),"",IF(E287="LONG",(K287-G287)/G287,(G287-K287)/G287))</f>
        <v/>
      </c>
      <c r="P287" s="100">
        <f>IF(OR(N287="",H287="",G287="",ABS(G287-H287)=0),"",N287/(ABS(G287-H287)*J287))</f>
        <v/>
      </c>
      <c r="Q287" s="74">
        <f>IF(N287="","",IF(N287&gt;0,"WIN",IF(N287&lt;0,"LOSS","FLAT")))</f>
        <v/>
      </c>
      <c r="AC287" s="98">
        <f>IF(N287="","",N287-IF(Z287="",0,Z287))</f>
        <v/>
      </c>
    </row>
    <row r="288" ht="15" customHeight="1" s="75">
      <c r="A288" s="74">
        <f>IF(B288="","",ROW()-1)</f>
        <v/>
      </c>
      <c r="N288" s="98">
        <f>IF(OR(K288="",G288="",J288=""),"",IF(E288="LONG",(K288-G288)*J288,(G288-K288)*J288))</f>
        <v/>
      </c>
      <c r="O288" s="99">
        <f>IF(OR(K288="",G288="",G288=0),"",IF(E288="LONG",(K288-G288)/G288,(G288-K288)/G288))</f>
        <v/>
      </c>
      <c r="P288" s="100">
        <f>IF(OR(N288="",H288="",G288="",ABS(G288-H288)=0),"",N288/(ABS(G288-H288)*J288))</f>
        <v/>
      </c>
      <c r="Q288" s="74">
        <f>IF(N288="","",IF(N288&gt;0,"WIN",IF(N288&lt;0,"LOSS","FLAT")))</f>
        <v/>
      </c>
      <c r="AC288" s="98">
        <f>IF(N288="","",N288-IF(Z288="",0,Z288))</f>
        <v/>
      </c>
    </row>
    <row r="289" ht="15" customHeight="1" s="75">
      <c r="A289" s="74">
        <f>IF(B289="","",ROW()-1)</f>
        <v/>
      </c>
      <c r="N289" s="98">
        <f>IF(OR(K289="",G289="",J289=""),"",IF(E289="LONG",(K289-G289)*J289,(G289-K289)*J289))</f>
        <v/>
      </c>
      <c r="O289" s="99">
        <f>IF(OR(K289="",G289="",G289=0),"",IF(E289="LONG",(K289-G289)/G289,(G289-K289)/G289))</f>
        <v/>
      </c>
      <c r="P289" s="100">
        <f>IF(OR(N289="",H289="",G289="",ABS(G289-H289)=0),"",N289/(ABS(G289-H289)*J289))</f>
        <v/>
      </c>
      <c r="Q289" s="74">
        <f>IF(N289="","",IF(N289&gt;0,"WIN",IF(N289&lt;0,"LOSS","FLAT")))</f>
        <v/>
      </c>
      <c r="AC289" s="98">
        <f>IF(N289="","",N289-IF(Z289="",0,Z289))</f>
        <v/>
      </c>
    </row>
    <row r="290" ht="15" customHeight="1" s="75">
      <c r="A290" s="74">
        <f>IF(B290="","",ROW()-1)</f>
        <v/>
      </c>
      <c r="N290" s="98">
        <f>IF(OR(K290="",G290="",J290=""),"",IF(E290="LONG",(K290-G290)*J290,(G290-K290)*J290))</f>
        <v/>
      </c>
      <c r="O290" s="99">
        <f>IF(OR(K290="",G290="",G290=0),"",IF(E290="LONG",(K290-G290)/G290,(G290-K290)/G290))</f>
        <v/>
      </c>
      <c r="P290" s="100">
        <f>IF(OR(N290="",H290="",G290="",ABS(G290-H290)=0),"",N290/(ABS(G290-H290)*J290))</f>
        <v/>
      </c>
      <c r="Q290" s="74">
        <f>IF(N290="","",IF(N290&gt;0,"WIN",IF(N290&lt;0,"LOSS","FLAT")))</f>
        <v/>
      </c>
      <c r="AC290" s="98">
        <f>IF(N290="","",N290-IF(Z290="",0,Z290))</f>
        <v/>
      </c>
    </row>
    <row r="291" ht="15" customHeight="1" s="75">
      <c r="A291" s="74">
        <f>IF(B291="","",ROW()-1)</f>
        <v/>
      </c>
      <c r="N291" s="98">
        <f>IF(OR(K291="",G291="",J291=""),"",IF(E291="LONG",(K291-G291)*J291,(G291-K291)*J291))</f>
        <v/>
      </c>
      <c r="O291" s="99">
        <f>IF(OR(K291="",G291="",G291=0),"",IF(E291="LONG",(K291-G291)/G291,(G291-K291)/G291))</f>
        <v/>
      </c>
      <c r="P291" s="100">
        <f>IF(OR(N291="",H291="",G291="",ABS(G291-H291)=0),"",N291/(ABS(G291-H291)*J291))</f>
        <v/>
      </c>
      <c r="Q291" s="74">
        <f>IF(N291="","",IF(N291&gt;0,"WIN",IF(N291&lt;0,"LOSS","FLAT")))</f>
        <v/>
      </c>
      <c r="AC291" s="98">
        <f>IF(N291="","",N291-IF(Z291="",0,Z291))</f>
        <v/>
      </c>
    </row>
    <row r="292" ht="15" customHeight="1" s="75">
      <c r="A292" s="74">
        <f>IF(B292="","",ROW()-1)</f>
        <v/>
      </c>
      <c r="N292" s="98">
        <f>IF(OR(K292="",G292="",J292=""),"",IF(E292="LONG",(K292-G292)*J292,(G292-K292)*J292))</f>
        <v/>
      </c>
      <c r="O292" s="99">
        <f>IF(OR(K292="",G292="",G292=0),"",IF(E292="LONG",(K292-G292)/G292,(G292-K292)/G292))</f>
        <v/>
      </c>
      <c r="P292" s="100">
        <f>IF(OR(N292="",H292="",G292="",ABS(G292-H292)=0),"",N292/(ABS(G292-H292)*J292))</f>
        <v/>
      </c>
      <c r="Q292" s="74">
        <f>IF(N292="","",IF(N292&gt;0,"WIN",IF(N292&lt;0,"LOSS","FLAT")))</f>
        <v/>
      </c>
      <c r="AC292" s="98">
        <f>IF(N292="","",N292-IF(Z292="",0,Z292))</f>
        <v/>
      </c>
    </row>
    <row r="293" ht="15" customHeight="1" s="75">
      <c r="A293" s="74">
        <f>IF(B293="","",ROW()-1)</f>
        <v/>
      </c>
      <c r="N293" s="98">
        <f>IF(OR(K293="",G293="",J293=""),"",IF(E293="LONG",(K293-G293)*J293,(G293-K293)*J293))</f>
        <v/>
      </c>
      <c r="O293" s="99">
        <f>IF(OR(K293="",G293="",G293=0),"",IF(E293="LONG",(K293-G293)/G293,(G293-K293)/G293))</f>
        <v/>
      </c>
      <c r="P293" s="100">
        <f>IF(OR(N293="",H293="",G293="",ABS(G293-H293)=0),"",N293/(ABS(G293-H293)*J293))</f>
        <v/>
      </c>
      <c r="Q293" s="74">
        <f>IF(N293="","",IF(N293&gt;0,"WIN",IF(N293&lt;0,"LOSS","FLAT")))</f>
        <v/>
      </c>
      <c r="AC293" s="98">
        <f>IF(N293="","",N293-IF(Z293="",0,Z293))</f>
        <v/>
      </c>
    </row>
    <row r="294" ht="15" customHeight="1" s="75">
      <c r="A294" s="74">
        <f>IF(B294="","",ROW()-1)</f>
        <v/>
      </c>
      <c r="N294" s="98">
        <f>IF(OR(K294="",G294="",J294=""),"",IF(E294="LONG",(K294-G294)*J294,(G294-K294)*J294))</f>
        <v/>
      </c>
      <c r="O294" s="99">
        <f>IF(OR(K294="",G294="",G294=0),"",IF(E294="LONG",(K294-G294)/G294,(G294-K294)/G294))</f>
        <v/>
      </c>
      <c r="P294" s="100">
        <f>IF(OR(N294="",H294="",G294="",ABS(G294-H294)=0),"",N294/(ABS(G294-H294)*J294))</f>
        <v/>
      </c>
      <c r="Q294" s="74">
        <f>IF(N294="","",IF(N294&gt;0,"WIN",IF(N294&lt;0,"LOSS","FLAT")))</f>
        <v/>
      </c>
      <c r="AC294" s="98">
        <f>IF(N294="","",N294-IF(Z294="",0,Z294))</f>
        <v/>
      </c>
    </row>
    <row r="295" ht="15" customHeight="1" s="75">
      <c r="A295" s="74">
        <f>IF(B295="","",ROW()-1)</f>
        <v/>
      </c>
      <c r="N295" s="98">
        <f>IF(OR(K295="",G295="",J295=""),"",IF(E295="LONG",(K295-G295)*J295,(G295-K295)*J295))</f>
        <v/>
      </c>
      <c r="O295" s="99">
        <f>IF(OR(K295="",G295="",G295=0),"",IF(E295="LONG",(K295-G295)/G295,(G295-K295)/G295))</f>
        <v/>
      </c>
      <c r="P295" s="100">
        <f>IF(OR(N295="",H295="",G295="",ABS(G295-H295)=0),"",N295/(ABS(G295-H295)*J295))</f>
        <v/>
      </c>
      <c r="Q295" s="74">
        <f>IF(N295="","",IF(N295&gt;0,"WIN",IF(N295&lt;0,"LOSS","FLAT")))</f>
        <v/>
      </c>
      <c r="AC295" s="98">
        <f>IF(N295="","",N295-IF(Z295="",0,Z295))</f>
        <v/>
      </c>
    </row>
    <row r="296" ht="15" customHeight="1" s="75">
      <c r="A296" s="74">
        <f>IF(B296="","",ROW()-1)</f>
        <v/>
      </c>
      <c r="N296" s="98">
        <f>IF(OR(K296="",G296="",J296=""),"",IF(E296="LONG",(K296-G296)*J296,(G296-K296)*J296))</f>
        <v/>
      </c>
      <c r="O296" s="99">
        <f>IF(OR(K296="",G296="",G296=0),"",IF(E296="LONG",(K296-G296)/G296,(G296-K296)/G296))</f>
        <v/>
      </c>
      <c r="P296" s="100">
        <f>IF(OR(N296="",H296="",G296="",ABS(G296-H296)=0),"",N296/(ABS(G296-H296)*J296))</f>
        <v/>
      </c>
      <c r="Q296" s="74">
        <f>IF(N296="","",IF(N296&gt;0,"WIN",IF(N296&lt;0,"LOSS","FLAT")))</f>
        <v/>
      </c>
      <c r="AC296" s="98">
        <f>IF(N296="","",N296-IF(Z296="",0,Z296))</f>
        <v/>
      </c>
    </row>
    <row r="297" ht="15" customHeight="1" s="75">
      <c r="A297" s="74">
        <f>IF(B297="","",ROW()-1)</f>
        <v/>
      </c>
      <c r="N297" s="98">
        <f>IF(OR(K297="",G297="",J297=""),"",IF(E297="LONG",(K297-G297)*J297,(G297-K297)*J297))</f>
        <v/>
      </c>
      <c r="O297" s="99">
        <f>IF(OR(K297="",G297="",G297=0),"",IF(E297="LONG",(K297-G297)/G297,(G297-K297)/G297))</f>
        <v/>
      </c>
      <c r="P297" s="100">
        <f>IF(OR(N297="",H297="",G297="",ABS(G297-H297)=0),"",N297/(ABS(G297-H297)*J297))</f>
        <v/>
      </c>
      <c r="Q297" s="74">
        <f>IF(N297="","",IF(N297&gt;0,"WIN",IF(N297&lt;0,"LOSS","FLAT")))</f>
        <v/>
      </c>
      <c r="AC297" s="98">
        <f>IF(N297="","",N297-IF(Z297="",0,Z297))</f>
        <v/>
      </c>
    </row>
    <row r="298" ht="15" customHeight="1" s="75">
      <c r="A298" s="74">
        <f>IF(B298="","",ROW()-1)</f>
        <v/>
      </c>
      <c r="N298" s="98">
        <f>IF(OR(K298="",G298="",J298=""),"",IF(E298="LONG",(K298-G298)*J298,(G298-K298)*J298))</f>
        <v/>
      </c>
      <c r="O298" s="99">
        <f>IF(OR(K298="",G298="",G298=0),"",IF(E298="LONG",(K298-G298)/G298,(G298-K298)/G298))</f>
        <v/>
      </c>
      <c r="P298" s="100">
        <f>IF(OR(N298="",H298="",G298="",ABS(G298-H298)=0),"",N298/(ABS(G298-H298)*J298))</f>
        <v/>
      </c>
      <c r="Q298" s="74">
        <f>IF(N298="","",IF(N298&gt;0,"WIN",IF(N298&lt;0,"LOSS","FLAT")))</f>
        <v/>
      </c>
      <c r="AC298" s="98">
        <f>IF(N298="","",N298-IF(Z298="",0,Z298))</f>
        <v/>
      </c>
    </row>
    <row r="299" ht="15" customHeight="1" s="75">
      <c r="A299" s="74">
        <f>IF(B299="","",ROW()-1)</f>
        <v/>
      </c>
      <c r="N299" s="98">
        <f>IF(OR(K299="",G299="",J299=""),"",IF(E299="LONG",(K299-G299)*J299,(G299-K299)*J299))</f>
        <v/>
      </c>
      <c r="O299" s="99">
        <f>IF(OR(K299="",G299="",G299=0),"",IF(E299="LONG",(K299-G299)/G299,(G299-K299)/G299))</f>
        <v/>
      </c>
      <c r="P299" s="100">
        <f>IF(OR(N299="",H299="",G299="",ABS(G299-H299)=0),"",N299/(ABS(G299-H299)*J299))</f>
        <v/>
      </c>
      <c r="Q299" s="74">
        <f>IF(N299="","",IF(N299&gt;0,"WIN",IF(N299&lt;0,"LOSS","FLAT")))</f>
        <v/>
      </c>
      <c r="AC299" s="98">
        <f>IF(N299="","",N299-IF(Z299="",0,Z299))</f>
        <v/>
      </c>
    </row>
    <row r="300" ht="15" customHeight="1" s="75">
      <c r="A300" s="74">
        <f>IF(B300="","",ROW()-1)</f>
        <v/>
      </c>
      <c r="N300" s="98">
        <f>IF(OR(K300="",G300="",J300=""),"",IF(E300="LONG",(K300-G300)*J300,(G300-K300)*J300))</f>
        <v/>
      </c>
      <c r="O300" s="99">
        <f>IF(OR(K300="",G300="",G300=0),"",IF(E300="LONG",(K300-G300)/G300,(G300-K300)/G300))</f>
        <v/>
      </c>
      <c r="P300" s="100">
        <f>IF(OR(N300="",H300="",G300="",ABS(G300-H300)=0),"",N300/(ABS(G300-H300)*J300))</f>
        <v/>
      </c>
      <c r="Q300" s="74">
        <f>IF(N300="","",IF(N300&gt;0,"WIN",IF(N300&lt;0,"LOSS","FLAT")))</f>
        <v/>
      </c>
      <c r="AC300" s="98">
        <f>IF(N300="","",N300-IF(Z300="",0,Z300))</f>
        <v/>
      </c>
    </row>
    <row r="301" ht="15" customHeight="1" s="75">
      <c r="A301" s="74">
        <f>IF(B301="","",ROW()-1)</f>
        <v/>
      </c>
      <c r="N301" s="98">
        <f>IF(OR(K301="",G301="",J301=""),"",IF(E301="LONG",(K301-G301)*J301,(G301-K301)*J301))</f>
        <v/>
      </c>
      <c r="O301" s="99">
        <f>IF(OR(K301="",G301="",G301=0),"",IF(E301="LONG",(K301-G301)/G301,(G301-K301)/G301))</f>
        <v/>
      </c>
      <c r="P301" s="100">
        <f>IF(OR(N301="",H301="",G301="",ABS(G301-H301)=0),"",N301/(ABS(G301-H301)*J301))</f>
        <v/>
      </c>
      <c r="Q301" s="74">
        <f>IF(N301="","",IF(N301&gt;0,"WIN",IF(N301&lt;0,"LOSS","FLAT")))</f>
        <v/>
      </c>
      <c r="AC301" s="98">
        <f>IF(N301="","",N301-IF(Z301="",0,Z301))</f>
        <v/>
      </c>
    </row>
    <row r="302" ht="15" customHeight="1" s="75">
      <c r="A302" s="74">
        <f>IF(B302="","",ROW()-1)</f>
        <v/>
      </c>
      <c r="N302" s="98">
        <f>IF(OR(K302="",G302="",J302=""),"",IF(E302="LONG",(K302-G302)*J302,(G302-K302)*J302))</f>
        <v/>
      </c>
      <c r="O302" s="99">
        <f>IF(OR(K302="",G302="",G302=0),"",IF(E302="LONG",(K302-G302)/G302,(G302-K302)/G302))</f>
        <v/>
      </c>
      <c r="P302" s="100">
        <f>IF(OR(N302="",H302="",G302="",ABS(G302-H302)=0),"",N302/(ABS(G302-H302)*J302))</f>
        <v/>
      </c>
      <c r="Q302" s="74">
        <f>IF(N302="","",IF(N302&gt;0,"WIN",IF(N302&lt;0,"LOSS","FLAT")))</f>
        <v/>
      </c>
      <c r="AC302" s="98">
        <f>IF(N302="","",N302-IF(Z302="",0,Z302))</f>
        <v/>
      </c>
    </row>
    <row r="303" ht="15" customHeight="1" s="75">
      <c r="A303" s="74">
        <f>IF(B303="","",ROW()-1)</f>
        <v/>
      </c>
      <c r="N303" s="98">
        <f>IF(OR(K303="",G303="",J303=""),"",IF(E303="LONG",(K303-G303)*J303,(G303-K303)*J303))</f>
        <v/>
      </c>
      <c r="O303" s="99">
        <f>IF(OR(K303="",G303="",G303=0),"",IF(E303="LONG",(K303-G303)/G303,(G303-K303)/G303))</f>
        <v/>
      </c>
      <c r="P303" s="100">
        <f>IF(OR(N303="",H303="",G303="",ABS(G303-H303)=0),"",N303/(ABS(G303-H303)*J303))</f>
        <v/>
      </c>
      <c r="Q303" s="74">
        <f>IF(N303="","",IF(N303&gt;0,"WIN",IF(N303&lt;0,"LOSS","FLAT")))</f>
        <v/>
      </c>
      <c r="AC303" s="98">
        <f>IF(N303="","",N303-IF(Z303="",0,Z303))</f>
        <v/>
      </c>
    </row>
    <row r="304" ht="15" customHeight="1" s="75">
      <c r="A304" s="74">
        <f>IF(B304="","",ROW()-1)</f>
        <v/>
      </c>
      <c r="N304" s="98">
        <f>IF(OR(K304="",G304="",J304=""),"",IF(E304="LONG",(K304-G304)*J304,(G304-K304)*J304))</f>
        <v/>
      </c>
      <c r="O304" s="99">
        <f>IF(OR(K304="",G304="",G304=0),"",IF(E304="LONG",(K304-G304)/G304,(G304-K304)/G304))</f>
        <v/>
      </c>
      <c r="P304" s="100">
        <f>IF(OR(N304="",H304="",G304="",ABS(G304-H304)=0),"",N304/(ABS(G304-H304)*J304))</f>
        <v/>
      </c>
      <c r="Q304" s="74">
        <f>IF(N304="","",IF(N304&gt;0,"WIN",IF(N304&lt;0,"LOSS","FLAT")))</f>
        <v/>
      </c>
      <c r="AC304" s="98">
        <f>IF(N304="","",N304-IF(Z304="",0,Z304))</f>
        <v/>
      </c>
    </row>
    <row r="305" ht="15" customHeight="1" s="75">
      <c r="A305" s="74">
        <f>IF(B305="","",ROW()-1)</f>
        <v/>
      </c>
      <c r="N305" s="98">
        <f>IF(OR(K305="",G305="",J305=""),"",IF(E305="LONG",(K305-G305)*J305,(G305-K305)*J305))</f>
        <v/>
      </c>
      <c r="O305" s="99">
        <f>IF(OR(K305="",G305="",G305=0),"",IF(E305="LONG",(K305-G305)/G305,(G305-K305)/G305))</f>
        <v/>
      </c>
      <c r="P305" s="100">
        <f>IF(OR(N305="",H305="",G305="",ABS(G305-H305)=0),"",N305/(ABS(G305-H305)*J305))</f>
        <v/>
      </c>
      <c r="Q305" s="74">
        <f>IF(N305="","",IF(N305&gt;0,"WIN",IF(N305&lt;0,"LOSS","FLAT")))</f>
        <v/>
      </c>
      <c r="AC305" s="98">
        <f>IF(N305="","",N305-IF(Z305="",0,Z305))</f>
        <v/>
      </c>
    </row>
    <row r="306" ht="15" customHeight="1" s="75">
      <c r="A306" s="74">
        <f>IF(B306="","",ROW()-1)</f>
        <v/>
      </c>
      <c r="N306" s="98">
        <f>IF(OR(K306="",G306="",J306=""),"",IF(E306="LONG",(K306-G306)*J306,(G306-K306)*J306))</f>
        <v/>
      </c>
      <c r="O306" s="99">
        <f>IF(OR(K306="",G306="",G306=0),"",IF(E306="LONG",(K306-G306)/G306,(G306-K306)/G306))</f>
        <v/>
      </c>
      <c r="P306" s="100">
        <f>IF(OR(N306="",H306="",G306="",ABS(G306-H306)=0),"",N306/(ABS(G306-H306)*J306))</f>
        <v/>
      </c>
      <c r="Q306" s="74">
        <f>IF(N306="","",IF(N306&gt;0,"WIN",IF(N306&lt;0,"LOSS","FLAT")))</f>
        <v/>
      </c>
      <c r="AC306" s="98">
        <f>IF(N306="","",N306-IF(Z306="",0,Z306))</f>
        <v/>
      </c>
    </row>
    <row r="307" ht="15" customHeight="1" s="75">
      <c r="A307" s="74">
        <f>IF(B307="","",ROW()-1)</f>
        <v/>
      </c>
      <c r="N307" s="98">
        <f>IF(OR(K307="",G307="",J307=""),"",IF(E307="LONG",(K307-G307)*J307,(G307-K307)*J307))</f>
        <v/>
      </c>
      <c r="O307" s="99">
        <f>IF(OR(K307="",G307="",G307=0),"",IF(E307="LONG",(K307-G307)/G307,(G307-K307)/G307))</f>
        <v/>
      </c>
      <c r="P307" s="100">
        <f>IF(OR(N307="",H307="",G307="",ABS(G307-H307)=0),"",N307/(ABS(G307-H307)*J307))</f>
        <v/>
      </c>
      <c r="Q307" s="74">
        <f>IF(N307="","",IF(N307&gt;0,"WIN",IF(N307&lt;0,"LOSS","FLAT")))</f>
        <v/>
      </c>
      <c r="AC307" s="98">
        <f>IF(N307="","",N307-IF(Z307="",0,Z307))</f>
        <v/>
      </c>
    </row>
    <row r="308" ht="15" customHeight="1" s="75">
      <c r="A308" s="74">
        <f>IF(B308="","",ROW()-1)</f>
        <v/>
      </c>
      <c r="N308" s="98">
        <f>IF(OR(K308="",G308="",J308=""),"",IF(E308="LONG",(K308-G308)*J308,(G308-K308)*J308))</f>
        <v/>
      </c>
      <c r="O308" s="99">
        <f>IF(OR(K308="",G308="",G308=0),"",IF(E308="LONG",(K308-G308)/G308,(G308-K308)/G308))</f>
        <v/>
      </c>
      <c r="P308" s="100">
        <f>IF(OR(N308="",H308="",G308="",ABS(G308-H308)=0),"",N308/(ABS(G308-H308)*J308))</f>
        <v/>
      </c>
      <c r="Q308" s="74">
        <f>IF(N308="","",IF(N308&gt;0,"WIN",IF(N308&lt;0,"LOSS","FLAT")))</f>
        <v/>
      </c>
      <c r="AC308" s="98">
        <f>IF(N308="","",N308-IF(Z308="",0,Z308))</f>
        <v/>
      </c>
    </row>
    <row r="309" ht="15" customHeight="1" s="75">
      <c r="A309" s="74">
        <f>IF(B309="","",ROW()-1)</f>
        <v/>
      </c>
      <c r="N309" s="98">
        <f>IF(OR(K309="",G309="",J309=""),"",IF(E309="LONG",(K309-G309)*J309,(G309-K309)*J309))</f>
        <v/>
      </c>
      <c r="O309" s="99">
        <f>IF(OR(K309="",G309="",G309=0),"",IF(E309="LONG",(K309-G309)/G309,(G309-K309)/G309))</f>
        <v/>
      </c>
      <c r="P309" s="100">
        <f>IF(OR(N309="",H309="",G309="",ABS(G309-H309)=0),"",N309/(ABS(G309-H309)*J309))</f>
        <v/>
      </c>
      <c r="Q309" s="74">
        <f>IF(N309="","",IF(N309&gt;0,"WIN",IF(N309&lt;0,"LOSS","FLAT")))</f>
        <v/>
      </c>
      <c r="AC309" s="98">
        <f>IF(N309="","",N309-IF(Z309="",0,Z309))</f>
        <v/>
      </c>
    </row>
    <row r="310" ht="15" customHeight="1" s="75">
      <c r="A310" s="74">
        <f>IF(B310="","",ROW()-1)</f>
        <v/>
      </c>
      <c r="N310" s="98">
        <f>IF(OR(K310="",G310="",J310=""),"",IF(E310="LONG",(K310-G310)*J310,(G310-K310)*J310))</f>
        <v/>
      </c>
      <c r="O310" s="99">
        <f>IF(OR(K310="",G310="",G310=0),"",IF(E310="LONG",(K310-G310)/G310,(G310-K310)/G310))</f>
        <v/>
      </c>
      <c r="P310" s="100">
        <f>IF(OR(N310="",H310="",G310="",ABS(G310-H310)=0),"",N310/(ABS(G310-H310)*J310))</f>
        <v/>
      </c>
      <c r="Q310" s="74">
        <f>IF(N310="","",IF(N310&gt;0,"WIN",IF(N310&lt;0,"LOSS","FLAT")))</f>
        <v/>
      </c>
      <c r="AC310" s="98">
        <f>IF(N310="","",N310-IF(Z310="",0,Z310))</f>
        <v/>
      </c>
    </row>
    <row r="311" ht="15" customHeight="1" s="75">
      <c r="A311" s="74">
        <f>IF(B311="","",ROW()-1)</f>
        <v/>
      </c>
      <c r="N311" s="98">
        <f>IF(OR(K311="",G311="",J311=""),"",IF(E311="LONG",(K311-G311)*J311,(G311-K311)*J311))</f>
        <v/>
      </c>
      <c r="O311" s="99">
        <f>IF(OR(K311="",G311="",G311=0),"",IF(E311="LONG",(K311-G311)/G311,(G311-K311)/G311))</f>
        <v/>
      </c>
      <c r="P311" s="100">
        <f>IF(OR(N311="",H311="",G311="",ABS(G311-H311)=0),"",N311/(ABS(G311-H311)*J311))</f>
        <v/>
      </c>
      <c r="Q311" s="74">
        <f>IF(N311="","",IF(N311&gt;0,"WIN",IF(N311&lt;0,"LOSS","FLAT")))</f>
        <v/>
      </c>
      <c r="AC311" s="98">
        <f>IF(N311="","",N311-IF(Z311="",0,Z311))</f>
        <v/>
      </c>
    </row>
    <row r="312" ht="15" customHeight="1" s="75">
      <c r="A312" s="74">
        <f>IF(B312="","",ROW()-1)</f>
        <v/>
      </c>
      <c r="N312" s="98">
        <f>IF(OR(K312="",G312="",J312=""),"",IF(E312="LONG",(K312-G312)*J312,(G312-K312)*J312))</f>
        <v/>
      </c>
      <c r="O312" s="99">
        <f>IF(OR(K312="",G312="",G312=0),"",IF(E312="LONG",(K312-G312)/G312,(G312-K312)/G312))</f>
        <v/>
      </c>
      <c r="P312" s="100">
        <f>IF(OR(N312="",H312="",G312="",ABS(G312-H312)=0),"",N312/(ABS(G312-H312)*J312))</f>
        <v/>
      </c>
      <c r="Q312" s="74">
        <f>IF(N312="","",IF(N312&gt;0,"WIN",IF(N312&lt;0,"LOSS","FLAT")))</f>
        <v/>
      </c>
      <c r="AC312" s="98">
        <f>IF(N312="","",N312-IF(Z312="",0,Z312))</f>
        <v/>
      </c>
    </row>
    <row r="313" ht="15" customHeight="1" s="75">
      <c r="A313" s="74">
        <f>IF(B313="","",ROW()-1)</f>
        <v/>
      </c>
      <c r="N313" s="98">
        <f>IF(OR(K313="",G313="",J313=""),"",IF(E313="LONG",(K313-G313)*J313,(G313-K313)*J313))</f>
        <v/>
      </c>
      <c r="O313" s="99">
        <f>IF(OR(K313="",G313="",G313=0),"",IF(E313="LONG",(K313-G313)/G313,(G313-K313)/G313))</f>
        <v/>
      </c>
      <c r="P313" s="100">
        <f>IF(OR(N313="",H313="",G313="",ABS(G313-H313)=0),"",N313/(ABS(G313-H313)*J313))</f>
        <v/>
      </c>
      <c r="Q313" s="74">
        <f>IF(N313="","",IF(N313&gt;0,"WIN",IF(N313&lt;0,"LOSS","FLAT")))</f>
        <v/>
      </c>
      <c r="AC313" s="98">
        <f>IF(N313="","",N313-IF(Z313="",0,Z313))</f>
        <v/>
      </c>
    </row>
    <row r="314" ht="15" customHeight="1" s="75">
      <c r="A314" s="74">
        <f>IF(B314="","",ROW()-1)</f>
        <v/>
      </c>
      <c r="N314" s="98">
        <f>IF(OR(K314="",G314="",J314=""),"",IF(E314="LONG",(K314-G314)*J314,(G314-K314)*J314))</f>
        <v/>
      </c>
      <c r="O314" s="99">
        <f>IF(OR(K314="",G314="",G314=0),"",IF(E314="LONG",(K314-G314)/G314,(G314-K314)/G314))</f>
        <v/>
      </c>
      <c r="P314" s="100">
        <f>IF(OR(N314="",H314="",G314="",ABS(G314-H314)=0),"",N314/(ABS(G314-H314)*J314))</f>
        <v/>
      </c>
      <c r="Q314" s="74">
        <f>IF(N314="","",IF(N314&gt;0,"WIN",IF(N314&lt;0,"LOSS","FLAT")))</f>
        <v/>
      </c>
      <c r="AC314" s="98">
        <f>IF(N314="","",N314-IF(Z314="",0,Z314))</f>
        <v/>
      </c>
    </row>
    <row r="315" ht="15" customHeight="1" s="75">
      <c r="A315" s="74">
        <f>IF(B315="","",ROW()-1)</f>
        <v/>
      </c>
      <c r="N315" s="98">
        <f>IF(OR(K315="",G315="",J315=""),"",IF(E315="LONG",(K315-G315)*J315,(G315-K315)*J315))</f>
        <v/>
      </c>
      <c r="O315" s="99">
        <f>IF(OR(K315="",G315="",G315=0),"",IF(E315="LONG",(K315-G315)/G315,(G315-K315)/G315))</f>
        <v/>
      </c>
      <c r="P315" s="100">
        <f>IF(OR(N315="",H315="",G315="",ABS(G315-H315)=0),"",N315/(ABS(G315-H315)*J315))</f>
        <v/>
      </c>
      <c r="Q315" s="74">
        <f>IF(N315="","",IF(N315&gt;0,"WIN",IF(N315&lt;0,"LOSS","FLAT")))</f>
        <v/>
      </c>
      <c r="AC315" s="98">
        <f>IF(N315="","",N315-IF(Z315="",0,Z315))</f>
        <v/>
      </c>
    </row>
    <row r="316" ht="15" customHeight="1" s="75">
      <c r="A316" s="74">
        <f>IF(B316="","",ROW()-1)</f>
        <v/>
      </c>
      <c r="N316" s="98">
        <f>IF(OR(K316="",G316="",J316=""),"",IF(E316="LONG",(K316-G316)*J316,(G316-K316)*J316))</f>
        <v/>
      </c>
      <c r="O316" s="99">
        <f>IF(OR(K316="",G316="",G316=0),"",IF(E316="LONG",(K316-G316)/G316,(G316-K316)/G316))</f>
        <v/>
      </c>
      <c r="P316" s="100">
        <f>IF(OR(N316="",H316="",G316="",ABS(G316-H316)=0),"",N316/(ABS(G316-H316)*J316))</f>
        <v/>
      </c>
      <c r="Q316" s="74">
        <f>IF(N316="","",IF(N316&gt;0,"WIN",IF(N316&lt;0,"LOSS","FLAT")))</f>
        <v/>
      </c>
      <c r="AC316" s="98">
        <f>IF(N316="","",N316-IF(Z316="",0,Z316))</f>
        <v/>
      </c>
    </row>
    <row r="317" ht="15" customHeight="1" s="75">
      <c r="A317" s="74">
        <f>IF(B317="","",ROW()-1)</f>
        <v/>
      </c>
      <c r="N317" s="98">
        <f>IF(OR(K317="",G317="",J317=""),"",IF(E317="LONG",(K317-G317)*J317,(G317-K317)*J317))</f>
        <v/>
      </c>
      <c r="O317" s="99">
        <f>IF(OR(K317="",G317="",G317=0),"",IF(E317="LONG",(K317-G317)/G317,(G317-K317)/G317))</f>
        <v/>
      </c>
      <c r="P317" s="100">
        <f>IF(OR(N317="",H317="",G317="",ABS(G317-H317)=0),"",N317/(ABS(G317-H317)*J317))</f>
        <v/>
      </c>
      <c r="Q317" s="74">
        <f>IF(N317="","",IF(N317&gt;0,"WIN",IF(N317&lt;0,"LOSS","FLAT")))</f>
        <v/>
      </c>
      <c r="AC317" s="98">
        <f>IF(N317="","",N317-IF(Z317="",0,Z317))</f>
        <v/>
      </c>
    </row>
    <row r="318" ht="15" customHeight="1" s="75">
      <c r="A318" s="74">
        <f>IF(B318="","",ROW()-1)</f>
        <v/>
      </c>
      <c r="N318" s="98">
        <f>IF(OR(K318="",G318="",J318=""),"",IF(E318="LONG",(K318-G318)*J318,(G318-K318)*J318))</f>
        <v/>
      </c>
      <c r="O318" s="99">
        <f>IF(OR(K318="",G318="",G318=0),"",IF(E318="LONG",(K318-G318)/G318,(G318-K318)/G318))</f>
        <v/>
      </c>
      <c r="P318" s="100">
        <f>IF(OR(N318="",H318="",G318="",ABS(G318-H318)=0),"",N318/(ABS(G318-H318)*J318))</f>
        <v/>
      </c>
      <c r="Q318" s="74">
        <f>IF(N318="","",IF(N318&gt;0,"WIN",IF(N318&lt;0,"LOSS","FLAT")))</f>
        <v/>
      </c>
      <c r="AC318" s="98">
        <f>IF(N318="","",N318-IF(Z318="",0,Z318))</f>
        <v/>
      </c>
    </row>
    <row r="319" ht="15" customHeight="1" s="75">
      <c r="A319" s="74">
        <f>IF(B319="","",ROW()-1)</f>
        <v/>
      </c>
      <c r="N319" s="98">
        <f>IF(OR(K319="",G319="",J319=""),"",IF(E319="LONG",(K319-G319)*J319,(G319-K319)*J319))</f>
        <v/>
      </c>
      <c r="O319" s="99">
        <f>IF(OR(K319="",G319="",G319=0),"",IF(E319="LONG",(K319-G319)/G319,(G319-K319)/G319))</f>
        <v/>
      </c>
      <c r="P319" s="100">
        <f>IF(OR(N319="",H319="",G319="",ABS(G319-H319)=0),"",N319/(ABS(G319-H319)*J319))</f>
        <v/>
      </c>
      <c r="Q319" s="74">
        <f>IF(N319="","",IF(N319&gt;0,"WIN",IF(N319&lt;0,"LOSS","FLAT")))</f>
        <v/>
      </c>
      <c r="AC319" s="98">
        <f>IF(N319="","",N319-IF(Z319="",0,Z319))</f>
        <v/>
      </c>
    </row>
    <row r="320" ht="15" customHeight="1" s="75">
      <c r="A320" s="74">
        <f>IF(B320="","",ROW()-1)</f>
        <v/>
      </c>
      <c r="N320" s="98">
        <f>IF(OR(K320="",G320="",J320=""),"",IF(E320="LONG",(K320-G320)*J320,(G320-K320)*J320))</f>
        <v/>
      </c>
      <c r="O320" s="99">
        <f>IF(OR(K320="",G320="",G320=0),"",IF(E320="LONG",(K320-G320)/G320,(G320-K320)/G320))</f>
        <v/>
      </c>
      <c r="P320" s="100">
        <f>IF(OR(N320="",H320="",G320="",ABS(G320-H320)=0),"",N320/(ABS(G320-H320)*J320))</f>
        <v/>
      </c>
      <c r="Q320" s="74">
        <f>IF(N320="","",IF(N320&gt;0,"WIN",IF(N320&lt;0,"LOSS","FLAT")))</f>
        <v/>
      </c>
      <c r="AC320" s="98">
        <f>IF(N320="","",N320-IF(Z320="",0,Z320))</f>
        <v/>
      </c>
    </row>
    <row r="321" ht="15" customHeight="1" s="75">
      <c r="A321" s="74">
        <f>IF(B321="","",ROW()-1)</f>
        <v/>
      </c>
      <c r="N321" s="98">
        <f>IF(OR(K321="",G321="",J321=""),"",IF(E321="LONG",(K321-G321)*J321,(G321-K321)*J321))</f>
        <v/>
      </c>
      <c r="O321" s="99">
        <f>IF(OR(K321="",G321="",G321=0),"",IF(E321="LONG",(K321-G321)/G321,(G321-K321)/G321))</f>
        <v/>
      </c>
      <c r="P321" s="100">
        <f>IF(OR(N321="",H321="",G321="",ABS(G321-H321)=0),"",N321/(ABS(G321-H321)*J321))</f>
        <v/>
      </c>
      <c r="Q321" s="74">
        <f>IF(N321="","",IF(N321&gt;0,"WIN",IF(N321&lt;0,"LOSS","FLAT")))</f>
        <v/>
      </c>
      <c r="AC321" s="98">
        <f>IF(N321="","",N321-IF(Z321="",0,Z321))</f>
        <v/>
      </c>
    </row>
    <row r="322" ht="15" customHeight="1" s="75">
      <c r="A322" s="74">
        <f>IF(B322="","",ROW()-1)</f>
        <v/>
      </c>
      <c r="N322" s="98">
        <f>IF(OR(K322="",G322="",J322=""),"",IF(E322="LONG",(K322-G322)*J322,(G322-K322)*J322))</f>
        <v/>
      </c>
      <c r="O322" s="99">
        <f>IF(OR(K322="",G322="",G322=0),"",IF(E322="LONG",(K322-G322)/G322,(G322-K322)/G322))</f>
        <v/>
      </c>
      <c r="P322" s="100">
        <f>IF(OR(N322="",H322="",G322="",ABS(G322-H322)=0),"",N322/(ABS(G322-H322)*J322))</f>
        <v/>
      </c>
      <c r="Q322" s="74">
        <f>IF(N322="","",IF(N322&gt;0,"WIN",IF(N322&lt;0,"LOSS","FLAT")))</f>
        <v/>
      </c>
      <c r="AC322" s="98">
        <f>IF(N322="","",N322-IF(Z322="",0,Z322))</f>
        <v/>
      </c>
    </row>
    <row r="323" ht="15" customHeight="1" s="75">
      <c r="A323" s="74">
        <f>IF(B323="","",ROW()-1)</f>
        <v/>
      </c>
      <c r="N323" s="98">
        <f>IF(OR(K323="",G323="",J323=""),"",IF(E323="LONG",(K323-G323)*J323,(G323-K323)*J323))</f>
        <v/>
      </c>
      <c r="O323" s="99">
        <f>IF(OR(K323="",G323="",G323=0),"",IF(E323="LONG",(K323-G323)/G323,(G323-K323)/G323))</f>
        <v/>
      </c>
      <c r="P323" s="100">
        <f>IF(OR(N323="",H323="",G323="",ABS(G323-H323)=0),"",N323/(ABS(G323-H323)*J323))</f>
        <v/>
      </c>
      <c r="Q323" s="74">
        <f>IF(N323="","",IF(N323&gt;0,"WIN",IF(N323&lt;0,"LOSS","FLAT")))</f>
        <v/>
      </c>
      <c r="AC323" s="98">
        <f>IF(N323="","",N323-IF(Z323="",0,Z323))</f>
        <v/>
      </c>
    </row>
    <row r="324" ht="15" customHeight="1" s="75">
      <c r="A324" s="74">
        <f>IF(B324="","",ROW()-1)</f>
        <v/>
      </c>
      <c r="N324" s="98">
        <f>IF(OR(K324="",G324="",J324=""),"",IF(E324="LONG",(K324-G324)*J324,(G324-K324)*J324))</f>
        <v/>
      </c>
      <c r="O324" s="99">
        <f>IF(OR(K324="",G324="",G324=0),"",IF(E324="LONG",(K324-G324)/G324,(G324-K324)/G324))</f>
        <v/>
      </c>
      <c r="P324" s="100">
        <f>IF(OR(N324="",H324="",G324="",ABS(G324-H324)=0),"",N324/(ABS(G324-H324)*J324))</f>
        <v/>
      </c>
      <c r="Q324" s="74">
        <f>IF(N324="","",IF(N324&gt;0,"WIN",IF(N324&lt;0,"LOSS","FLAT")))</f>
        <v/>
      </c>
      <c r="AC324" s="98">
        <f>IF(N324="","",N324-IF(Z324="",0,Z324))</f>
        <v/>
      </c>
    </row>
    <row r="325" ht="15" customHeight="1" s="75">
      <c r="A325" s="74">
        <f>IF(B325="","",ROW()-1)</f>
        <v/>
      </c>
      <c r="N325" s="98">
        <f>IF(OR(K325="",G325="",J325=""),"",IF(E325="LONG",(K325-G325)*J325,(G325-K325)*J325))</f>
        <v/>
      </c>
      <c r="O325" s="99">
        <f>IF(OR(K325="",G325="",G325=0),"",IF(E325="LONG",(K325-G325)/G325,(G325-K325)/G325))</f>
        <v/>
      </c>
      <c r="P325" s="100">
        <f>IF(OR(N325="",H325="",G325="",ABS(G325-H325)=0),"",N325/(ABS(G325-H325)*J325))</f>
        <v/>
      </c>
      <c r="Q325" s="74">
        <f>IF(N325="","",IF(N325&gt;0,"WIN",IF(N325&lt;0,"LOSS","FLAT")))</f>
        <v/>
      </c>
      <c r="AC325" s="98">
        <f>IF(N325="","",N325-IF(Z325="",0,Z325))</f>
        <v/>
      </c>
    </row>
    <row r="326" ht="15" customHeight="1" s="75">
      <c r="A326" s="74">
        <f>IF(B326="","",ROW()-1)</f>
        <v/>
      </c>
      <c r="N326" s="98">
        <f>IF(OR(K326="",G326="",J326=""),"",IF(E326="LONG",(K326-G326)*J326,(G326-K326)*J326))</f>
        <v/>
      </c>
      <c r="O326" s="99">
        <f>IF(OR(K326="",G326="",G326=0),"",IF(E326="LONG",(K326-G326)/G326,(G326-K326)/G326))</f>
        <v/>
      </c>
      <c r="P326" s="100">
        <f>IF(OR(N326="",H326="",G326="",ABS(G326-H326)=0),"",N326/(ABS(G326-H326)*J326))</f>
        <v/>
      </c>
      <c r="Q326" s="74">
        <f>IF(N326="","",IF(N326&gt;0,"WIN",IF(N326&lt;0,"LOSS","FLAT")))</f>
        <v/>
      </c>
      <c r="AC326" s="98">
        <f>IF(N326="","",N326-IF(Z326="",0,Z326))</f>
        <v/>
      </c>
    </row>
    <row r="327" ht="15" customHeight="1" s="75">
      <c r="A327" s="74">
        <f>IF(B327="","",ROW()-1)</f>
        <v/>
      </c>
      <c r="N327" s="98">
        <f>IF(OR(K327="",G327="",J327=""),"",IF(E327="LONG",(K327-G327)*J327,(G327-K327)*J327))</f>
        <v/>
      </c>
      <c r="O327" s="99">
        <f>IF(OR(K327="",G327="",G327=0),"",IF(E327="LONG",(K327-G327)/G327,(G327-K327)/G327))</f>
        <v/>
      </c>
      <c r="P327" s="100">
        <f>IF(OR(N327="",H327="",G327="",ABS(G327-H327)=0),"",N327/(ABS(G327-H327)*J327))</f>
        <v/>
      </c>
      <c r="Q327" s="74">
        <f>IF(N327="","",IF(N327&gt;0,"WIN",IF(N327&lt;0,"LOSS","FLAT")))</f>
        <v/>
      </c>
      <c r="AC327" s="98">
        <f>IF(N327="","",N327-IF(Z327="",0,Z327))</f>
        <v/>
      </c>
    </row>
    <row r="328" ht="15" customHeight="1" s="75">
      <c r="A328" s="74">
        <f>IF(B328="","",ROW()-1)</f>
        <v/>
      </c>
      <c r="N328" s="98">
        <f>IF(OR(K328="",G328="",J328=""),"",IF(E328="LONG",(K328-G328)*J328,(G328-K328)*J328))</f>
        <v/>
      </c>
      <c r="O328" s="99">
        <f>IF(OR(K328="",G328="",G328=0),"",IF(E328="LONG",(K328-G328)/G328,(G328-K328)/G328))</f>
        <v/>
      </c>
      <c r="P328" s="100">
        <f>IF(OR(N328="",H328="",G328="",ABS(G328-H328)=0),"",N328/(ABS(G328-H328)*J328))</f>
        <v/>
      </c>
      <c r="Q328" s="74">
        <f>IF(N328="","",IF(N328&gt;0,"WIN",IF(N328&lt;0,"LOSS","FLAT")))</f>
        <v/>
      </c>
      <c r="AC328" s="98">
        <f>IF(N328="","",N328-IF(Z328="",0,Z328))</f>
        <v/>
      </c>
    </row>
    <row r="329" ht="15" customHeight="1" s="75">
      <c r="A329" s="74">
        <f>IF(B329="","",ROW()-1)</f>
        <v/>
      </c>
      <c r="N329" s="98">
        <f>IF(OR(K329="",G329="",J329=""),"",IF(E329="LONG",(K329-G329)*J329,(G329-K329)*J329))</f>
        <v/>
      </c>
      <c r="O329" s="99">
        <f>IF(OR(K329="",G329="",G329=0),"",IF(E329="LONG",(K329-G329)/G329,(G329-K329)/G329))</f>
        <v/>
      </c>
      <c r="P329" s="100">
        <f>IF(OR(N329="",H329="",G329="",ABS(G329-H329)=0),"",N329/(ABS(G329-H329)*J329))</f>
        <v/>
      </c>
      <c r="Q329" s="74">
        <f>IF(N329="","",IF(N329&gt;0,"WIN",IF(N329&lt;0,"LOSS","FLAT")))</f>
        <v/>
      </c>
      <c r="AC329" s="98">
        <f>IF(N329="","",N329-IF(Z329="",0,Z329))</f>
        <v/>
      </c>
    </row>
    <row r="330" ht="15" customHeight="1" s="75">
      <c r="A330" s="74">
        <f>IF(B330="","",ROW()-1)</f>
        <v/>
      </c>
      <c r="N330" s="98">
        <f>IF(OR(K330="",G330="",J330=""),"",IF(E330="LONG",(K330-G330)*J330,(G330-K330)*J330))</f>
        <v/>
      </c>
      <c r="O330" s="99">
        <f>IF(OR(K330="",G330="",G330=0),"",IF(E330="LONG",(K330-G330)/G330,(G330-K330)/G330))</f>
        <v/>
      </c>
      <c r="P330" s="100">
        <f>IF(OR(N330="",H330="",G330="",ABS(G330-H330)=0),"",N330/(ABS(G330-H330)*J330))</f>
        <v/>
      </c>
      <c r="Q330" s="74">
        <f>IF(N330="","",IF(N330&gt;0,"WIN",IF(N330&lt;0,"LOSS","FLAT")))</f>
        <v/>
      </c>
      <c r="AC330" s="98">
        <f>IF(N330="","",N330-IF(Z330="",0,Z330))</f>
        <v/>
      </c>
    </row>
    <row r="331" ht="15" customHeight="1" s="75">
      <c r="A331" s="74">
        <f>IF(B331="","",ROW()-1)</f>
        <v/>
      </c>
      <c r="N331" s="98">
        <f>IF(OR(K331="",G331="",J331=""),"",IF(E331="LONG",(K331-G331)*J331,(G331-K331)*J331))</f>
        <v/>
      </c>
      <c r="O331" s="99">
        <f>IF(OR(K331="",G331="",G331=0),"",IF(E331="LONG",(K331-G331)/G331,(G331-K331)/G331))</f>
        <v/>
      </c>
      <c r="P331" s="100">
        <f>IF(OR(N331="",H331="",G331="",ABS(G331-H331)=0),"",N331/(ABS(G331-H331)*J331))</f>
        <v/>
      </c>
      <c r="Q331" s="74">
        <f>IF(N331="","",IF(N331&gt;0,"WIN",IF(N331&lt;0,"LOSS","FLAT")))</f>
        <v/>
      </c>
      <c r="AC331" s="98">
        <f>IF(N331="","",N331-IF(Z331="",0,Z331))</f>
        <v/>
      </c>
    </row>
    <row r="332" ht="15" customHeight="1" s="75">
      <c r="A332" s="74">
        <f>IF(B332="","",ROW()-1)</f>
        <v/>
      </c>
      <c r="N332" s="98">
        <f>IF(OR(K332="",G332="",J332=""),"",IF(E332="LONG",(K332-G332)*J332,(G332-K332)*J332))</f>
        <v/>
      </c>
      <c r="O332" s="99">
        <f>IF(OR(K332="",G332="",G332=0),"",IF(E332="LONG",(K332-G332)/G332,(G332-K332)/G332))</f>
        <v/>
      </c>
      <c r="P332" s="100">
        <f>IF(OR(N332="",H332="",G332="",ABS(G332-H332)=0),"",N332/(ABS(G332-H332)*J332))</f>
        <v/>
      </c>
      <c r="Q332" s="74">
        <f>IF(N332="","",IF(N332&gt;0,"WIN",IF(N332&lt;0,"LOSS","FLAT")))</f>
        <v/>
      </c>
      <c r="AC332" s="98">
        <f>IF(N332="","",N332-IF(Z332="",0,Z332))</f>
        <v/>
      </c>
    </row>
    <row r="333" ht="15" customHeight="1" s="75">
      <c r="A333" s="74">
        <f>IF(B333="","",ROW()-1)</f>
        <v/>
      </c>
      <c r="N333" s="98">
        <f>IF(OR(K333="",G333="",J333=""),"",IF(E333="LONG",(K333-G333)*J333,(G333-K333)*J333))</f>
        <v/>
      </c>
      <c r="O333" s="99">
        <f>IF(OR(K333="",G333="",G333=0),"",IF(E333="LONG",(K333-G333)/G333,(G333-K333)/G333))</f>
        <v/>
      </c>
      <c r="P333" s="100">
        <f>IF(OR(N333="",H333="",G333="",ABS(G333-H333)=0),"",N333/(ABS(G333-H333)*J333))</f>
        <v/>
      </c>
      <c r="Q333" s="74">
        <f>IF(N333="","",IF(N333&gt;0,"WIN",IF(N333&lt;0,"LOSS","FLAT")))</f>
        <v/>
      </c>
      <c r="AC333" s="98">
        <f>IF(N333="","",N333-IF(Z333="",0,Z333))</f>
        <v/>
      </c>
    </row>
    <row r="334" ht="15" customHeight="1" s="75">
      <c r="A334" s="74">
        <f>IF(B334="","",ROW()-1)</f>
        <v/>
      </c>
      <c r="N334" s="98">
        <f>IF(OR(K334="",G334="",J334=""),"",IF(E334="LONG",(K334-G334)*J334,(G334-K334)*J334))</f>
        <v/>
      </c>
      <c r="O334" s="99">
        <f>IF(OR(K334="",G334="",G334=0),"",IF(E334="LONG",(K334-G334)/G334,(G334-K334)/G334))</f>
        <v/>
      </c>
      <c r="P334" s="100">
        <f>IF(OR(N334="",H334="",G334="",ABS(G334-H334)=0),"",N334/(ABS(G334-H334)*J334))</f>
        <v/>
      </c>
      <c r="Q334" s="74">
        <f>IF(N334="","",IF(N334&gt;0,"WIN",IF(N334&lt;0,"LOSS","FLAT")))</f>
        <v/>
      </c>
      <c r="AC334" s="98">
        <f>IF(N334="","",N334-IF(Z334="",0,Z334))</f>
        <v/>
      </c>
    </row>
    <row r="335" ht="15" customHeight="1" s="75">
      <c r="A335" s="74">
        <f>IF(B335="","",ROW()-1)</f>
        <v/>
      </c>
      <c r="N335" s="98">
        <f>IF(OR(K335="",G335="",J335=""),"",IF(E335="LONG",(K335-G335)*J335,(G335-K335)*J335))</f>
        <v/>
      </c>
      <c r="O335" s="99">
        <f>IF(OR(K335="",G335="",G335=0),"",IF(E335="LONG",(K335-G335)/G335,(G335-K335)/G335))</f>
        <v/>
      </c>
      <c r="P335" s="100">
        <f>IF(OR(N335="",H335="",G335="",ABS(G335-H335)=0),"",N335/(ABS(G335-H335)*J335))</f>
        <v/>
      </c>
      <c r="Q335" s="74">
        <f>IF(N335="","",IF(N335&gt;0,"WIN",IF(N335&lt;0,"LOSS","FLAT")))</f>
        <v/>
      </c>
      <c r="AC335" s="98">
        <f>IF(N335="","",N335-IF(Z335="",0,Z335))</f>
        <v/>
      </c>
    </row>
    <row r="336" ht="15" customHeight="1" s="75">
      <c r="A336" s="74">
        <f>IF(B336="","",ROW()-1)</f>
        <v/>
      </c>
      <c r="N336" s="98">
        <f>IF(OR(K336="",G336="",J336=""),"",IF(E336="LONG",(K336-G336)*J336,(G336-K336)*J336))</f>
        <v/>
      </c>
      <c r="O336" s="99">
        <f>IF(OR(K336="",G336="",G336=0),"",IF(E336="LONG",(K336-G336)/G336,(G336-K336)/G336))</f>
        <v/>
      </c>
      <c r="P336" s="100">
        <f>IF(OR(N336="",H336="",G336="",ABS(G336-H336)=0),"",N336/(ABS(G336-H336)*J336))</f>
        <v/>
      </c>
      <c r="Q336" s="74">
        <f>IF(N336="","",IF(N336&gt;0,"WIN",IF(N336&lt;0,"LOSS","FLAT")))</f>
        <v/>
      </c>
      <c r="AC336" s="98">
        <f>IF(N336="","",N336-IF(Z336="",0,Z336))</f>
        <v/>
      </c>
    </row>
    <row r="337" ht="15" customHeight="1" s="75">
      <c r="A337" s="74">
        <f>IF(B337="","",ROW()-1)</f>
        <v/>
      </c>
      <c r="N337" s="98">
        <f>IF(OR(K337="",G337="",J337=""),"",IF(E337="LONG",(K337-G337)*J337,(G337-K337)*J337))</f>
        <v/>
      </c>
      <c r="O337" s="99">
        <f>IF(OR(K337="",G337="",G337=0),"",IF(E337="LONG",(K337-G337)/G337,(G337-K337)/G337))</f>
        <v/>
      </c>
      <c r="P337" s="100">
        <f>IF(OR(N337="",H337="",G337="",ABS(G337-H337)=0),"",N337/(ABS(G337-H337)*J337))</f>
        <v/>
      </c>
      <c r="Q337" s="74">
        <f>IF(N337="","",IF(N337&gt;0,"WIN",IF(N337&lt;0,"LOSS","FLAT")))</f>
        <v/>
      </c>
      <c r="AC337" s="98">
        <f>IF(N337="","",N337-IF(Z337="",0,Z337))</f>
        <v/>
      </c>
    </row>
    <row r="338" ht="15" customHeight="1" s="75">
      <c r="A338" s="74">
        <f>IF(B338="","",ROW()-1)</f>
        <v/>
      </c>
      <c r="N338" s="98">
        <f>IF(OR(K338="",G338="",J338=""),"",IF(E338="LONG",(K338-G338)*J338,(G338-K338)*J338))</f>
        <v/>
      </c>
      <c r="O338" s="99">
        <f>IF(OR(K338="",G338="",G338=0),"",IF(E338="LONG",(K338-G338)/G338,(G338-K338)/G338))</f>
        <v/>
      </c>
      <c r="P338" s="100">
        <f>IF(OR(N338="",H338="",G338="",ABS(G338-H338)=0),"",N338/(ABS(G338-H338)*J338))</f>
        <v/>
      </c>
      <c r="Q338" s="74">
        <f>IF(N338="","",IF(N338&gt;0,"WIN",IF(N338&lt;0,"LOSS","FLAT")))</f>
        <v/>
      </c>
      <c r="AC338" s="98">
        <f>IF(N338="","",N338-IF(Z338="",0,Z338))</f>
        <v/>
      </c>
    </row>
    <row r="339" ht="15" customHeight="1" s="75">
      <c r="A339" s="74">
        <f>IF(B339="","",ROW()-1)</f>
        <v/>
      </c>
      <c r="N339" s="98">
        <f>IF(OR(K339="",G339="",J339=""),"",IF(E339="LONG",(K339-G339)*J339,(G339-K339)*J339))</f>
        <v/>
      </c>
      <c r="O339" s="99">
        <f>IF(OR(K339="",G339="",G339=0),"",IF(E339="LONG",(K339-G339)/G339,(G339-K339)/G339))</f>
        <v/>
      </c>
      <c r="P339" s="100">
        <f>IF(OR(N339="",H339="",G339="",ABS(G339-H339)=0),"",N339/(ABS(G339-H339)*J339))</f>
        <v/>
      </c>
      <c r="Q339" s="74">
        <f>IF(N339="","",IF(N339&gt;0,"WIN",IF(N339&lt;0,"LOSS","FLAT")))</f>
        <v/>
      </c>
      <c r="AC339" s="98">
        <f>IF(N339="","",N339-IF(Z339="",0,Z339))</f>
        <v/>
      </c>
    </row>
    <row r="340" ht="15" customHeight="1" s="75">
      <c r="A340" s="74">
        <f>IF(B340="","",ROW()-1)</f>
        <v/>
      </c>
      <c r="N340" s="98">
        <f>IF(OR(K340="",G340="",J340=""),"",IF(E340="LONG",(K340-G340)*J340,(G340-K340)*J340))</f>
        <v/>
      </c>
      <c r="O340" s="99">
        <f>IF(OR(K340="",G340="",G340=0),"",IF(E340="LONG",(K340-G340)/G340,(G340-K340)/G340))</f>
        <v/>
      </c>
      <c r="P340" s="100">
        <f>IF(OR(N340="",H340="",G340="",ABS(G340-H340)=0),"",N340/(ABS(G340-H340)*J340))</f>
        <v/>
      </c>
      <c r="Q340" s="74">
        <f>IF(N340="","",IF(N340&gt;0,"WIN",IF(N340&lt;0,"LOSS","FLAT")))</f>
        <v/>
      </c>
      <c r="AC340" s="98">
        <f>IF(N340="","",N340-IF(Z340="",0,Z340))</f>
        <v/>
      </c>
    </row>
    <row r="341" ht="15" customHeight="1" s="75">
      <c r="A341" s="74">
        <f>IF(B341="","",ROW()-1)</f>
        <v/>
      </c>
      <c r="N341" s="98">
        <f>IF(OR(K341="",G341="",J341=""),"",IF(E341="LONG",(K341-G341)*J341,(G341-K341)*J341))</f>
        <v/>
      </c>
      <c r="O341" s="99">
        <f>IF(OR(K341="",G341="",G341=0),"",IF(E341="LONG",(K341-G341)/G341,(G341-K341)/G341))</f>
        <v/>
      </c>
      <c r="P341" s="100">
        <f>IF(OR(N341="",H341="",G341="",ABS(G341-H341)=0),"",N341/(ABS(G341-H341)*J341))</f>
        <v/>
      </c>
      <c r="Q341" s="74">
        <f>IF(N341="","",IF(N341&gt;0,"WIN",IF(N341&lt;0,"LOSS","FLAT")))</f>
        <v/>
      </c>
      <c r="AC341" s="98">
        <f>IF(N341="","",N341-IF(Z341="",0,Z341))</f>
        <v/>
      </c>
    </row>
    <row r="342" ht="15" customHeight="1" s="75">
      <c r="A342" s="74">
        <f>IF(B342="","",ROW()-1)</f>
        <v/>
      </c>
      <c r="N342" s="98">
        <f>IF(OR(K342="",G342="",J342=""),"",IF(E342="LONG",(K342-G342)*J342,(G342-K342)*J342))</f>
        <v/>
      </c>
      <c r="O342" s="99">
        <f>IF(OR(K342="",G342="",G342=0),"",IF(E342="LONG",(K342-G342)/G342,(G342-K342)/G342))</f>
        <v/>
      </c>
      <c r="P342" s="100">
        <f>IF(OR(N342="",H342="",G342="",ABS(G342-H342)=0),"",N342/(ABS(G342-H342)*J342))</f>
        <v/>
      </c>
      <c r="Q342" s="74">
        <f>IF(N342="","",IF(N342&gt;0,"WIN",IF(N342&lt;0,"LOSS","FLAT")))</f>
        <v/>
      </c>
      <c r="AC342" s="98">
        <f>IF(N342="","",N342-IF(Z342="",0,Z342))</f>
        <v/>
      </c>
    </row>
    <row r="343" ht="15" customHeight="1" s="75">
      <c r="A343" s="74">
        <f>IF(B343="","",ROW()-1)</f>
        <v/>
      </c>
      <c r="N343" s="98">
        <f>IF(OR(K343="",G343="",J343=""),"",IF(E343="LONG",(K343-G343)*J343,(G343-K343)*J343))</f>
        <v/>
      </c>
      <c r="O343" s="99">
        <f>IF(OR(K343="",G343="",G343=0),"",IF(E343="LONG",(K343-G343)/G343,(G343-K343)/G343))</f>
        <v/>
      </c>
      <c r="P343" s="100">
        <f>IF(OR(N343="",H343="",G343="",ABS(G343-H343)=0),"",N343/(ABS(G343-H343)*J343))</f>
        <v/>
      </c>
      <c r="Q343" s="74">
        <f>IF(N343="","",IF(N343&gt;0,"WIN",IF(N343&lt;0,"LOSS","FLAT")))</f>
        <v/>
      </c>
      <c r="AC343" s="98">
        <f>IF(N343="","",N343-IF(Z343="",0,Z343))</f>
        <v/>
      </c>
    </row>
    <row r="344" ht="15" customHeight="1" s="75">
      <c r="A344" s="74">
        <f>IF(B344="","",ROW()-1)</f>
        <v/>
      </c>
      <c r="N344" s="98">
        <f>IF(OR(K344="",G344="",J344=""),"",IF(E344="LONG",(K344-G344)*J344,(G344-K344)*J344))</f>
        <v/>
      </c>
      <c r="O344" s="99">
        <f>IF(OR(K344="",G344="",G344=0),"",IF(E344="LONG",(K344-G344)/G344,(G344-K344)/G344))</f>
        <v/>
      </c>
      <c r="P344" s="100">
        <f>IF(OR(N344="",H344="",G344="",ABS(G344-H344)=0),"",N344/(ABS(G344-H344)*J344))</f>
        <v/>
      </c>
      <c r="Q344" s="74">
        <f>IF(N344="","",IF(N344&gt;0,"WIN",IF(N344&lt;0,"LOSS","FLAT")))</f>
        <v/>
      </c>
      <c r="AC344" s="98">
        <f>IF(N344="","",N344-IF(Z344="",0,Z344))</f>
        <v/>
      </c>
    </row>
    <row r="345" ht="15" customHeight="1" s="75">
      <c r="A345" s="74">
        <f>IF(B345="","",ROW()-1)</f>
        <v/>
      </c>
      <c r="N345" s="98">
        <f>IF(OR(K345="",G345="",J345=""),"",IF(E345="LONG",(K345-G345)*J345,(G345-K345)*J345))</f>
        <v/>
      </c>
      <c r="O345" s="99">
        <f>IF(OR(K345="",G345="",G345=0),"",IF(E345="LONG",(K345-G345)/G345,(G345-K345)/G345))</f>
        <v/>
      </c>
      <c r="P345" s="100">
        <f>IF(OR(N345="",H345="",G345="",ABS(G345-H345)=0),"",N345/(ABS(G345-H345)*J345))</f>
        <v/>
      </c>
      <c r="Q345" s="74">
        <f>IF(N345="","",IF(N345&gt;0,"WIN",IF(N345&lt;0,"LOSS","FLAT")))</f>
        <v/>
      </c>
      <c r="AC345" s="98">
        <f>IF(N345="","",N345-IF(Z345="",0,Z345))</f>
        <v/>
      </c>
    </row>
    <row r="346" ht="15" customHeight="1" s="75">
      <c r="A346" s="74">
        <f>IF(B346="","",ROW()-1)</f>
        <v/>
      </c>
      <c r="N346" s="98">
        <f>IF(OR(K346="",G346="",J346=""),"",IF(E346="LONG",(K346-G346)*J346,(G346-K346)*J346))</f>
        <v/>
      </c>
      <c r="O346" s="99">
        <f>IF(OR(K346="",G346="",G346=0),"",IF(E346="LONG",(K346-G346)/G346,(G346-K346)/G346))</f>
        <v/>
      </c>
      <c r="P346" s="100">
        <f>IF(OR(N346="",H346="",G346="",ABS(G346-H346)=0),"",N346/(ABS(G346-H346)*J346))</f>
        <v/>
      </c>
      <c r="Q346" s="74">
        <f>IF(N346="","",IF(N346&gt;0,"WIN",IF(N346&lt;0,"LOSS","FLAT")))</f>
        <v/>
      </c>
      <c r="AC346" s="98">
        <f>IF(N346="","",N346-IF(Z346="",0,Z346))</f>
        <v/>
      </c>
    </row>
    <row r="347" ht="15" customHeight="1" s="75">
      <c r="A347" s="74">
        <f>IF(B347="","",ROW()-1)</f>
        <v/>
      </c>
      <c r="N347" s="98">
        <f>IF(OR(K347="",G347="",J347=""),"",IF(E347="LONG",(K347-G347)*J347,(G347-K347)*J347))</f>
        <v/>
      </c>
      <c r="O347" s="99">
        <f>IF(OR(K347="",G347="",G347=0),"",IF(E347="LONG",(K347-G347)/G347,(G347-K347)/G347))</f>
        <v/>
      </c>
      <c r="P347" s="100">
        <f>IF(OR(N347="",H347="",G347="",ABS(G347-H347)=0),"",N347/(ABS(G347-H347)*J347))</f>
        <v/>
      </c>
      <c r="Q347" s="74">
        <f>IF(N347="","",IF(N347&gt;0,"WIN",IF(N347&lt;0,"LOSS","FLAT")))</f>
        <v/>
      </c>
      <c r="AC347" s="98">
        <f>IF(N347="","",N347-IF(Z347="",0,Z347))</f>
        <v/>
      </c>
    </row>
    <row r="348" ht="15" customHeight="1" s="75">
      <c r="A348" s="74">
        <f>IF(B348="","",ROW()-1)</f>
        <v/>
      </c>
      <c r="N348" s="98">
        <f>IF(OR(K348="",G348="",J348=""),"",IF(E348="LONG",(K348-G348)*J348,(G348-K348)*J348))</f>
        <v/>
      </c>
      <c r="O348" s="99">
        <f>IF(OR(K348="",G348="",G348=0),"",IF(E348="LONG",(K348-G348)/G348,(G348-K348)/G348))</f>
        <v/>
      </c>
      <c r="P348" s="100">
        <f>IF(OR(N348="",H348="",G348="",ABS(G348-H348)=0),"",N348/(ABS(G348-H348)*J348))</f>
        <v/>
      </c>
      <c r="Q348" s="74">
        <f>IF(N348="","",IF(N348&gt;0,"WIN",IF(N348&lt;0,"LOSS","FLAT")))</f>
        <v/>
      </c>
      <c r="AC348" s="98">
        <f>IF(N348="","",N348-IF(Z348="",0,Z348))</f>
        <v/>
      </c>
    </row>
    <row r="349" ht="15" customHeight="1" s="75">
      <c r="A349" s="74">
        <f>IF(B349="","",ROW()-1)</f>
        <v/>
      </c>
      <c r="N349" s="98">
        <f>IF(OR(K349="",G349="",J349=""),"",IF(E349="LONG",(K349-G349)*J349,(G349-K349)*J349))</f>
        <v/>
      </c>
      <c r="O349" s="99">
        <f>IF(OR(K349="",G349="",G349=0),"",IF(E349="LONG",(K349-G349)/G349,(G349-K349)/G349))</f>
        <v/>
      </c>
      <c r="P349" s="100">
        <f>IF(OR(N349="",H349="",G349="",ABS(G349-H349)=0),"",N349/(ABS(G349-H349)*J349))</f>
        <v/>
      </c>
      <c r="Q349" s="74">
        <f>IF(N349="","",IF(N349&gt;0,"WIN",IF(N349&lt;0,"LOSS","FLAT")))</f>
        <v/>
      </c>
      <c r="AC349" s="98">
        <f>IF(N349="","",N349-IF(Z349="",0,Z349))</f>
        <v/>
      </c>
    </row>
    <row r="350" ht="15" customHeight="1" s="75">
      <c r="A350" s="74">
        <f>IF(B350="","",ROW()-1)</f>
        <v/>
      </c>
      <c r="N350" s="98">
        <f>IF(OR(K350="",G350="",J350=""),"",IF(E350="LONG",(K350-G350)*J350,(G350-K350)*J350))</f>
        <v/>
      </c>
      <c r="O350" s="99">
        <f>IF(OR(K350="",G350="",G350=0),"",IF(E350="LONG",(K350-G350)/G350,(G350-K350)/G350))</f>
        <v/>
      </c>
      <c r="P350" s="100">
        <f>IF(OR(N350="",H350="",G350="",ABS(G350-H350)=0),"",N350/(ABS(G350-H350)*J350))</f>
        <v/>
      </c>
      <c r="Q350" s="74">
        <f>IF(N350="","",IF(N350&gt;0,"WIN",IF(N350&lt;0,"LOSS","FLAT")))</f>
        <v/>
      </c>
      <c r="AC350" s="98">
        <f>IF(N350="","",N350-IF(Z350="",0,Z350))</f>
        <v/>
      </c>
    </row>
    <row r="351" ht="15" customHeight="1" s="75">
      <c r="A351" s="74">
        <f>IF(B351="","",ROW()-1)</f>
        <v/>
      </c>
      <c r="N351" s="98">
        <f>IF(OR(K351="",G351="",J351=""),"",IF(E351="LONG",(K351-G351)*J351,(G351-K351)*J351))</f>
        <v/>
      </c>
      <c r="O351" s="99">
        <f>IF(OR(K351="",G351="",G351=0),"",IF(E351="LONG",(K351-G351)/G351,(G351-K351)/G351))</f>
        <v/>
      </c>
      <c r="P351" s="100">
        <f>IF(OR(N351="",H351="",G351="",ABS(G351-H351)=0),"",N351/(ABS(G351-H351)*J351))</f>
        <v/>
      </c>
      <c r="Q351" s="74">
        <f>IF(N351="","",IF(N351&gt;0,"WIN",IF(N351&lt;0,"LOSS","FLAT")))</f>
        <v/>
      </c>
      <c r="AC351" s="98">
        <f>IF(N351="","",N351-IF(Z351="",0,Z351))</f>
        <v/>
      </c>
    </row>
    <row r="352" ht="15" customHeight="1" s="75">
      <c r="A352" s="74">
        <f>IF(B352="","",ROW()-1)</f>
        <v/>
      </c>
      <c r="N352" s="98">
        <f>IF(OR(K352="",G352="",J352=""),"",IF(E352="LONG",(K352-G352)*J352,(G352-K352)*J352))</f>
        <v/>
      </c>
      <c r="O352" s="99">
        <f>IF(OR(K352="",G352="",G352=0),"",IF(E352="LONG",(K352-G352)/G352,(G352-K352)/G352))</f>
        <v/>
      </c>
      <c r="P352" s="100">
        <f>IF(OR(N352="",H352="",G352="",ABS(G352-H352)=0),"",N352/(ABS(G352-H352)*J352))</f>
        <v/>
      </c>
      <c r="Q352" s="74">
        <f>IF(N352="","",IF(N352&gt;0,"WIN",IF(N352&lt;0,"LOSS","FLAT")))</f>
        <v/>
      </c>
      <c r="AC352" s="98">
        <f>IF(N352="","",N352-IF(Z352="",0,Z352))</f>
        <v/>
      </c>
    </row>
    <row r="353" ht="15" customHeight="1" s="75">
      <c r="A353" s="74">
        <f>IF(B353="","",ROW()-1)</f>
        <v/>
      </c>
      <c r="N353" s="98">
        <f>IF(OR(K353="",G353="",J353=""),"",IF(E353="LONG",(K353-G353)*J353,(G353-K353)*J353))</f>
        <v/>
      </c>
      <c r="O353" s="99">
        <f>IF(OR(K353="",G353="",G353=0),"",IF(E353="LONG",(K353-G353)/G353,(G353-K353)/G353))</f>
        <v/>
      </c>
      <c r="P353" s="100">
        <f>IF(OR(N353="",H353="",G353="",ABS(G353-H353)=0),"",N353/(ABS(G353-H353)*J353))</f>
        <v/>
      </c>
      <c r="Q353" s="74">
        <f>IF(N353="","",IF(N353&gt;0,"WIN",IF(N353&lt;0,"LOSS","FLAT")))</f>
        <v/>
      </c>
      <c r="AC353" s="98">
        <f>IF(N353="","",N353-IF(Z353="",0,Z353))</f>
        <v/>
      </c>
    </row>
    <row r="354" ht="15" customHeight="1" s="75">
      <c r="A354" s="74">
        <f>IF(B354="","",ROW()-1)</f>
        <v/>
      </c>
      <c r="N354" s="98">
        <f>IF(OR(K354="",G354="",J354=""),"",IF(E354="LONG",(K354-G354)*J354,(G354-K354)*J354))</f>
        <v/>
      </c>
      <c r="O354" s="99">
        <f>IF(OR(K354="",G354="",G354=0),"",IF(E354="LONG",(K354-G354)/G354,(G354-K354)/G354))</f>
        <v/>
      </c>
      <c r="P354" s="100">
        <f>IF(OR(N354="",H354="",G354="",ABS(G354-H354)=0),"",N354/(ABS(G354-H354)*J354))</f>
        <v/>
      </c>
      <c r="Q354" s="74">
        <f>IF(N354="","",IF(N354&gt;0,"WIN",IF(N354&lt;0,"LOSS","FLAT")))</f>
        <v/>
      </c>
      <c r="AC354" s="98">
        <f>IF(N354="","",N354-IF(Z354="",0,Z354))</f>
        <v/>
      </c>
    </row>
    <row r="355" ht="15" customHeight="1" s="75">
      <c r="A355" s="74">
        <f>IF(B355="","",ROW()-1)</f>
        <v/>
      </c>
      <c r="N355" s="98">
        <f>IF(OR(K355="",G355="",J355=""),"",IF(E355="LONG",(K355-G355)*J355,(G355-K355)*J355))</f>
        <v/>
      </c>
      <c r="O355" s="99">
        <f>IF(OR(K355="",G355="",G355=0),"",IF(E355="LONG",(K355-G355)/G355,(G355-K355)/G355))</f>
        <v/>
      </c>
      <c r="P355" s="100">
        <f>IF(OR(N355="",H355="",G355="",ABS(G355-H355)=0),"",N355/(ABS(G355-H355)*J355))</f>
        <v/>
      </c>
      <c r="Q355" s="74">
        <f>IF(N355="","",IF(N355&gt;0,"WIN",IF(N355&lt;0,"LOSS","FLAT")))</f>
        <v/>
      </c>
      <c r="AC355" s="98">
        <f>IF(N355="","",N355-IF(Z355="",0,Z355))</f>
        <v/>
      </c>
    </row>
    <row r="356" ht="15" customHeight="1" s="75">
      <c r="A356" s="74">
        <f>IF(B356="","",ROW()-1)</f>
        <v/>
      </c>
      <c r="N356" s="98">
        <f>IF(OR(K356="",G356="",J356=""),"",IF(E356="LONG",(K356-G356)*J356,(G356-K356)*J356))</f>
        <v/>
      </c>
      <c r="O356" s="99">
        <f>IF(OR(K356="",G356="",G356=0),"",IF(E356="LONG",(K356-G356)/G356,(G356-K356)/G356))</f>
        <v/>
      </c>
      <c r="P356" s="100">
        <f>IF(OR(N356="",H356="",G356="",ABS(G356-H356)=0),"",N356/(ABS(G356-H356)*J356))</f>
        <v/>
      </c>
      <c r="Q356" s="74">
        <f>IF(N356="","",IF(N356&gt;0,"WIN",IF(N356&lt;0,"LOSS","FLAT")))</f>
        <v/>
      </c>
      <c r="AC356" s="98">
        <f>IF(N356="","",N356-IF(Z356="",0,Z356))</f>
        <v/>
      </c>
    </row>
    <row r="357" ht="15" customHeight="1" s="75">
      <c r="A357" s="74">
        <f>IF(B357="","",ROW()-1)</f>
        <v/>
      </c>
      <c r="N357" s="98">
        <f>IF(OR(K357="",G357="",J357=""),"",IF(E357="LONG",(K357-G357)*J357,(G357-K357)*J357))</f>
        <v/>
      </c>
      <c r="O357" s="99">
        <f>IF(OR(K357="",G357="",G357=0),"",IF(E357="LONG",(K357-G357)/G357,(G357-K357)/G357))</f>
        <v/>
      </c>
      <c r="P357" s="100">
        <f>IF(OR(N357="",H357="",G357="",ABS(G357-H357)=0),"",N357/(ABS(G357-H357)*J357))</f>
        <v/>
      </c>
      <c r="Q357" s="74">
        <f>IF(N357="","",IF(N357&gt;0,"WIN",IF(N357&lt;0,"LOSS","FLAT")))</f>
        <v/>
      </c>
      <c r="AC357" s="98">
        <f>IF(N357="","",N357-IF(Z357="",0,Z357))</f>
        <v/>
      </c>
    </row>
    <row r="358" ht="15" customHeight="1" s="75">
      <c r="A358" s="74">
        <f>IF(B358="","",ROW()-1)</f>
        <v/>
      </c>
      <c r="N358" s="98">
        <f>IF(OR(K358="",G358="",J358=""),"",IF(E358="LONG",(K358-G358)*J358,(G358-K358)*J358))</f>
        <v/>
      </c>
      <c r="O358" s="99">
        <f>IF(OR(K358="",G358="",G358=0),"",IF(E358="LONG",(K358-G358)/G358,(G358-K358)/G358))</f>
        <v/>
      </c>
      <c r="P358" s="100">
        <f>IF(OR(N358="",H358="",G358="",ABS(G358-H358)=0),"",N358/(ABS(G358-H358)*J358))</f>
        <v/>
      </c>
      <c r="Q358" s="74">
        <f>IF(N358="","",IF(N358&gt;0,"WIN",IF(N358&lt;0,"LOSS","FLAT")))</f>
        <v/>
      </c>
      <c r="AC358" s="98">
        <f>IF(N358="","",N358-IF(Z358="",0,Z358))</f>
        <v/>
      </c>
    </row>
    <row r="359" ht="15" customHeight="1" s="75">
      <c r="A359" s="74">
        <f>IF(B359="","",ROW()-1)</f>
        <v/>
      </c>
      <c r="N359" s="98">
        <f>IF(OR(K359="",G359="",J359=""),"",IF(E359="LONG",(K359-G359)*J359,(G359-K359)*J359))</f>
        <v/>
      </c>
      <c r="O359" s="99">
        <f>IF(OR(K359="",G359="",G359=0),"",IF(E359="LONG",(K359-G359)/G359,(G359-K359)/G359))</f>
        <v/>
      </c>
      <c r="P359" s="100">
        <f>IF(OR(N359="",H359="",G359="",ABS(G359-H359)=0),"",N359/(ABS(G359-H359)*J359))</f>
        <v/>
      </c>
      <c r="Q359" s="74">
        <f>IF(N359="","",IF(N359&gt;0,"WIN",IF(N359&lt;0,"LOSS","FLAT")))</f>
        <v/>
      </c>
      <c r="AC359" s="98">
        <f>IF(N359="","",N359-IF(Z359="",0,Z359))</f>
        <v/>
      </c>
    </row>
    <row r="360" ht="15" customHeight="1" s="75">
      <c r="A360" s="74">
        <f>IF(B360="","",ROW()-1)</f>
        <v/>
      </c>
      <c r="N360" s="98">
        <f>IF(OR(K360="",G360="",J360=""),"",IF(E360="LONG",(K360-G360)*J360,(G360-K360)*J360))</f>
        <v/>
      </c>
      <c r="O360" s="99">
        <f>IF(OR(K360="",G360="",G360=0),"",IF(E360="LONG",(K360-G360)/G360,(G360-K360)/G360))</f>
        <v/>
      </c>
      <c r="P360" s="100">
        <f>IF(OR(N360="",H360="",G360="",ABS(G360-H360)=0),"",N360/(ABS(G360-H360)*J360))</f>
        <v/>
      </c>
      <c r="Q360" s="74">
        <f>IF(N360="","",IF(N360&gt;0,"WIN",IF(N360&lt;0,"LOSS","FLAT")))</f>
        <v/>
      </c>
      <c r="AC360" s="98">
        <f>IF(N360="","",N360-IF(Z360="",0,Z360))</f>
        <v/>
      </c>
    </row>
    <row r="361" ht="15" customHeight="1" s="75">
      <c r="A361" s="74">
        <f>IF(B361="","",ROW()-1)</f>
        <v/>
      </c>
      <c r="N361" s="98">
        <f>IF(OR(K361="",G361="",J361=""),"",IF(E361="LONG",(K361-G361)*J361,(G361-K361)*J361))</f>
        <v/>
      </c>
      <c r="O361" s="99">
        <f>IF(OR(K361="",G361="",G361=0),"",IF(E361="LONG",(K361-G361)/G361,(G361-K361)/G361))</f>
        <v/>
      </c>
      <c r="P361" s="100">
        <f>IF(OR(N361="",H361="",G361="",ABS(G361-H361)=0),"",N361/(ABS(G361-H361)*J361))</f>
        <v/>
      </c>
      <c r="Q361" s="74">
        <f>IF(N361="","",IF(N361&gt;0,"WIN",IF(N361&lt;0,"LOSS","FLAT")))</f>
        <v/>
      </c>
      <c r="AC361" s="98">
        <f>IF(N361="","",N361-IF(Z361="",0,Z361))</f>
        <v/>
      </c>
    </row>
    <row r="362" ht="15" customHeight="1" s="75">
      <c r="A362" s="74">
        <f>IF(B362="","",ROW()-1)</f>
        <v/>
      </c>
      <c r="N362" s="98">
        <f>IF(OR(K362="",G362="",J362=""),"",IF(E362="LONG",(K362-G362)*J362,(G362-K362)*J362))</f>
        <v/>
      </c>
      <c r="O362" s="99">
        <f>IF(OR(K362="",G362="",G362=0),"",IF(E362="LONG",(K362-G362)/G362,(G362-K362)/G362))</f>
        <v/>
      </c>
      <c r="P362" s="100">
        <f>IF(OR(N362="",H362="",G362="",ABS(G362-H362)=0),"",N362/(ABS(G362-H362)*J362))</f>
        <v/>
      </c>
      <c r="Q362" s="74">
        <f>IF(N362="","",IF(N362&gt;0,"WIN",IF(N362&lt;0,"LOSS","FLAT")))</f>
        <v/>
      </c>
      <c r="AC362" s="98">
        <f>IF(N362="","",N362-IF(Z362="",0,Z362))</f>
        <v/>
      </c>
    </row>
    <row r="363" ht="15" customHeight="1" s="75">
      <c r="A363" s="74">
        <f>IF(B363="","",ROW()-1)</f>
        <v/>
      </c>
      <c r="N363" s="98">
        <f>IF(OR(K363="",G363="",J363=""),"",IF(E363="LONG",(K363-G363)*J363,(G363-K363)*J363))</f>
        <v/>
      </c>
      <c r="O363" s="99">
        <f>IF(OR(K363="",G363="",G363=0),"",IF(E363="LONG",(K363-G363)/G363,(G363-K363)/G363))</f>
        <v/>
      </c>
      <c r="P363" s="100">
        <f>IF(OR(N363="",H363="",G363="",ABS(G363-H363)=0),"",N363/(ABS(G363-H363)*J363))</f>
        <v/>
      </c>
      <c r="Q363" s="74">
        <f>IF(N363="","",IF(N363&gt;0,"WIN",IF(N363&lt;0,"LOSS","FLAT")))</f>
        <v/>
      </c>
      <c r="AC363" s="98">
        <f>IF(N363="","",N363-IF(Z363="",0,Z363))</f>
        <v/>
      </c>
    </row>
    <row r="364" ht="15" customHeight="1" s="75">
      <c r="A364" s="74">
        <f>IF(B364="","",ROW()-1)</f>
        <v/>
      </c>
      <c r="N364" s="98">
        <f>IF(OR(K364="",G364="",J364=""),"",IF(E364="LONG",(K364-G364)*J364,(G364-K364)*J364))</f>
        <v/>
      </c>
      <c r="O364" s="99">
        <f>IF(OR(K364="",G364="",G364=0),"",IF(E364="LONG",(K364-G364)/G364,(G364-K364)/G364))</f>
        <v/>
      </c>
      <c r="P364" s="100">
        <f>IF(OR(N364="",H364="",G364="",ABS(G364-H364)=0),"",N364/(ABS(G364-H364)*J364))</f>
        <v/>
      </c>
      <c r="Q364" s="74">
        <f>IF(N364="","",IF(N364&gt;0,"WIN",IF(N364&lt;0,"LOSS","FLAT")))</f>
        <v/>
      </c>
      <c r="AC364" s="98">
        <f>IF(N364="","",N364-IF(Z364="",0,Z364))</f>
        <v/>
      </c>
    </row>
    <row r="365" ht="15" customHeight="1" s="75">
      <c r="A365" s="74">
        <f>IF(B365="","",ROW()-1)</f>
        <v/>
      </c>
      <c r="N365" s="98">
        <f>IF(OR(K365="",G365="",J365=""),"",IF(E365="LONG",(K365-G365)*J365,(G365-K365)*J365))</f>
        <v/>
      </c>
      <c r="O365" s="99">
        <f>IF(OR(K365="",G365="",G365=0),"",IF(E365="LONG",(K365-G365)/G365,(G365-K365)/G365))</f>
        <v/>
      </c>
      <c r="P365" s="100">
        <f>IF(OR(N365="",H365="",G365="",ABS(G365-H365)=0),"",N365/(ABS(G365-H365)*J365))</f>
        <v/>
      </c>
      <c r="Q365" s="74">
        <f>IF(N365="","",IF(N365&gt;0,"WIN",IF(N365&lt;0,"LOSS","FLAT")))</f>
        <v/>
      </c>
      <c r="AC365" s="98">
        <f>IF(N365="","",N365-IF(Z365="",0,Z365))</f>
        <v/>
      </c>
    </row>
    <row r="366" ht="15" customHeight="1" s="75">
      <c r="A366" s="74">
        <f>IF(B366="","",ROW()-1)</f>
        <v/>
      </c>
      <c r="N366" s="98">
        <f>IF(OR(K366="",G366="",J366=""),"",IF(E366="LONG",(K366-G366)*J366,(G366-K366)*J366))</f>
        <v/>
      </c>
      <c r="O366" s="99">
        <f>IF(OR(K366="",G366="",G366=0),"",IF(E366="LONG",(K366-G366)/G366,(G366-K366)/G366))</f>
        <v/>
      </c>
      <c r="P366" s="100">
        <f>IF(OR(N366="",H366="",G366="",ABS(G366-H366)=0),"",N366/(ABS(G366-H366)*J366))</f>
        <v/>
      </c>
      <c r="Q366" s="74">
        <f>IF(N366="","",IF(N366&gt;0,"WIN",IF(N366&lt;0,"LOSS","FLAT")))</f>
        <v/>
      </c>
      <c r="AC366" s="98">
        <f>IF(N366="","",N366-IF(Z366="",0,Z366))</f>
        <v/>
      </c>
    </row>
    <row r="367" ht="15" customHeight="1" s="75">
      <c r="A367" s="74">
        <f>IF(B367="","",ROW()-1)</f>
        <v/>
      </c>
      <c r="N367" s="98">
        <f>IF(OR(K367="",G367="",J367=""),"",IF(E367="LONG",(K367-G367)*J367,(G367-K367)*J367))</f>
        <v/>
      </c>
      <c r="O367" s="99">
        <f>IF(OR(K367="",G367="",G367=0),"",IF(E367="LONG",(K367-G367)/G367,(G367-K367)/G367))</f>
        <v/>
      </c>
      <c r="P367" s="100">
        <f>IF(OR(N367="",H367="",G367="",ABS(G367-H367)=0),"",N367/(ABS(G367-H367)*J367))</f>
        <v/>
      </c>
      <c r="Q367" s="74">
        <f>IF(N367="","",IF(N367&gt;0,"WIN",IF(N367&lt;0,"LOSS","FLAT")))</f>
        <v/>
      </c>
      <c r="AC367" s="98">
        <f>IF(N367="","",N367-IF(Z367="",0,Z367))</f>
        <v/>
      </c>
    </row>
    <row r="368" ht="15" customHeight="1" s="75">
      <c r="A368" s="74">
        <f>IF(B368="","",ROW()-1)</f>
        <v/>
      </c>
      <c r="N368" s="98">
        <f>IF(OR(K368="",G368="",J368=""),"",IF(E368="LONG",(K368-G368)*J368,(G368-K368)*J368))</f>
        <v/>
      </c>
      <c r="O368" s="99">
        <f>IF(OR(K368="",G368="",G368=0),"",IF(E368="LONG",(K368-G368)/G368,(G368-K368)/G368))</f>
        <v/>
      </c>
      <c r="P368" s="100">
        <f>IF(OR(N368="",H368="",G368="",ABS(G368-H368)=0),"",N368/(ABS(G368-H368)*J368))</f>
        <v/>
      </c>
      <c r="Q368" s="74">
        <f>IF(N368="","",IF(N368&gt;0,"WIN",IF(N368&lt;0,"LOSS","FLAT")))</f>
        <v/>
      </c>
      <c r="AC368" s="98">
        <f>IF(N368="","",N368-IF(Z368="",0,Z368))</f>
        <v/>
      </c>
    </row>
    <row r="369" ht="15" customHeight="1" s="75">
      <c r="A369" s="74">
        <f>IF(B369="","",ROW()-1)</f>
        <v/>
      </c>
      <c r="N369" s="98">
        <f>IF(OR(K369="",G369="",J369=""),"",IF(E369="LONG",(K369-G369)*J369,(G369-K369)*J369))</f>
        <v/>
      </c>
      <c r="O369" s="99">
        <f>IF(OR(K369="",G369="",G369=0),"",IF(E369="LONG",(K369-G369)/G369,(G369-K369)/G369))</f>
        <v/>
      </c>
      <c r="P369" s="100">
        <f>IF(OR(N369="",H369="",G369="",ABS(G369-H369)=0),"",N369/(ABS(G369-H369)*J369))</f>
        <v/>
      </c>
      <c r="Q369" s="74">
        <f>IF(N369="","",IF(N369&gt;0,"WIN",IF(N369&lt;0,"LOSS","FLAT")))</f>
        <v/>
      </c>
      <c r="AC369" s="98">
        <f>IF(N369="","",N369-IF(Z369="",0,Z369))</f>
        <v/>
      </c>
    </row>
    <row r="370" ht="15" customHeight="1" s="75">
      <c r="A370" s="74">
        <f>IF(B370="","",ROW()-1)</f>
        <v/>
      </c>
      <c r="N370" s="98">
        <f>IF(OR(K370="",G370="",J370=""),"",IF(E370="LONG",(K370-G370)*J370,(G370-K370)*J370))</f>
        <v/>
      </c>
      <c r="O370" s="99">
        <f>IF(OR(K370="",G370="",G370=0),"",IF(E370="LONG",(K370-G370)/G370,(G370-K370)/G370))</f>
        <v/>
      </c>
      <c r="P370" s="100">
        <f>IF(OR(N370="",H370="",G370="",ABS(G370-H370)=0),"",N370/(ABS(G370-H370)*J370))</f>
        <v/>
      </c>
      <c r="Q370" s="74">
        <f>IF(N370="","",IF(N370&gt;0,"WIN",IF(N370&lt;0,"LOSS","FLAT")))</f>
        <v/>
      </c>
      <c r="AC370" s="98">
        <f>IF(N370="","",N370-IF(Z370="",0,Z370))</f>
        <v/>
      </c>
    </row>
    <row r="371" ht="15" customHeight="1" s="75">
      <c r="A371" s="74">
        <f>IF(B371="","",ROW()-1)</f>
        <v/>
      </c>
      <c r="N371" s="98">
        <f>IF(OR(K371="",G371="",J371=""),"",IF(E371="LONG",(K371-G371)*J371,(G371-K371)*J371))</f>
        <v/>
      </c>
      <c r="O371" s="99">
        <f>IF(OR(K371="",G371="",G371=0),"",IF(E371="LONG",(K371-G371)/G371,(G371-K371)/G371))</f>
        <v/>
      </c>
      <c r="P371" s="100">
        <f>IF(OR(N371="",H371="",G371="",ABS(G371-H371)=0),"",N371/(ABS(G371-H371)*J371))</f>
        <v/>
      </c>
      <c r="Q371" s="74">
        <f>IF(N371="","",IF(N371&gt;0,"WIN",IF(N371&lt;0,"LOSS","FLAT")))</f>
        <v/>
      </c>
      <c r="AC371" s="98">
        <f>IF(N371="","",N371-IF(Z371="",0,Z371))</f>
        <v/>
      </c>
    </row>
    <row r="372" ht="15" customHeight="1" s="75">
      <c r="A372" s="74">
        <f>IF(B372="","",ROW()-1)</f>
        <v/>
      </c>
      <c r="N372" s="98">
        <f>IF(OR(K372="",G372="",J372=""),"",IF(E372="LONG",(K372-G372)*J372,(G372-K372)*J372))</f>
        <v/>
      </c>
      <c r="O372" s="99">
        <f>IF(OR(K372="",G372="",G372=0),"",IF(E372="LONG",(K372-G372)/G372,(G372-K372)/G372))</f>
        <v/>
      </c>
      <c r="P372" s="100">
        <f>IF(OR(N372="",H372="",G372="",ABS(G372-H372)=0),"",N372/(ABS(G372-H372)*J372))</f>
        <v/>
      </c>
      <c r="Q372" s="74">
        <f>IF(N372="","",IF(N372&gt;0,"WIN",IF(N372&lt;0,"LOSS","FLAT")))</f>
        <v/>
      </c>
      <c r="AC372" s="98">
        <f>IF(N372="","",N372-IF(Z372="",0,Z372))</f>
        <v/>
      </c>
    </row>
    <row r="373" ht="15" customHeight="1" s="75">
      <c r="A373" s="74">
        <f>IF(B373="","",ROW()-1)</f>
        <v/>
      </c>
      <c r="N373" s="98">
        <f>IF(OR(K373="",G373="",J373=""),"",IF(E373="LONG",(K373-G373)*J373,(G373-K373)*J373))</f>
        <v/>
      </c>
      <c r="O373" s="99">
        <f>IF(OR(K373="",G373="",G373=0),"",IF(E373="LONG",(K373-G373)/G373,(G373-K373)/G373))</f>
        <v/>
      </c>
      <c r="P373" s="100">
        <f>IF(OR(N373="",H373="",G373="",ABS(G373-H373)=0),"",N373/(ABS(G373-H373)*J373))</f>
        <v/>
      </c>
      <c r="Q373" s="74">
        <f>IF(N373="","",IF(N373&gt;0,"WIN",IF(N373&lt;0,"LOSS","FLAT")))</f>
        <v/>
      </c>
      <c r="AC373" s="98">
        <f>IF(N373="","",N373-IF(Z373="",0,Z373))</f>
        <v/>
      </c>
    </row>
    <row r="374" ht="15" customHeight="1" s="75">
      <c r="A374" s="74">
        <f>IF(B374="","",ROW()-1)</f>
        <v/>
      </c>
      <c r="N374" s="98">
        <f>IF(OR(K374="",G374="",J374=""),"",IF(E374="LONG",(K374-G374)*J374,(G374-K374)*J374))</f>
        <v/>
      </c>
      <c r="O374" s="99">
        <f>IF(OR(K374="",G374="",G374=0),"",IF(E374="LONG",(K374-G374)/G374,(G374-K374)/G374))</f>
        <v/>
      </c>
      <c r="P374" s="100">
        <f>IF(OR(N374="",H374="",G374="",ABS(G374-H374)=0),"",N374/(ABS(G374-H374)*J374))</f>
        <v/>
      </c>
      <c r="Q374" s="74">
        <f>IF(N374="","",IF(N374&gt;0,"WIN",IF(N374&lt;0,"LOSS","FLAT")))</f>
        <v/>
      </c>
      <c r="AC374" s="98">
        <f>IF(N374="","",N374-IF(Z374="",0,Z374))</f>
        <v/>
      </c>
    </row>
    <row r="375" ht="15" customHeight="1" s="75">
      <c r="A375" s="74">
        <f>IF(B375="","",ROW()-1)</f>
        <v/>
      </c>
      <c r="N375" s="98">
        <f>IF(OR(K375="",G375="",J375=""),"",IF(E375="LONG",(K375-G375)*J375,(G375-K375)*J375))</f>
        <v/>
      </c>
      <c r="O375" s="99">
        <f>IF(OR(K375="",G375="",G375=0),"",IF(E375="LONG",(K375-G375)/G375,(G375-K375)/G375))</f>
        <v/>
      </c>
      <c r="P375" s="100">
        <f>IF(OR(N375="",H375="",G375="",ABS(G375-H375)=0),"",N375/(ABS(G375-H375)*J375))</f>
        <v/>
      </c>
      <c r="Q375" s="74">
        <f>IF(N375="","",IF(N375&gt;0,"WIN",IF(N375&lt;0,"LOSS","FLAT")))</f>
        <v/>
      </c>
      <c r="AC375" s="98">
        <f>IF(N375="","",N375-IF(Z375="",0,Z375))</f>
        <v/>
      </c>
    </row>
    <row r="376" ht="15" customHeight="1" s="75">
      <c r="A376" s="74">
        <f>IF(B376="","",ROW()-1)</f>
        <v/>
      </c>
      <c r="N376" s="98">
        <f>IF(OR(K376="",G376="",J376=""),"",IF(E376="LONG",(K376-G376)*J376,(G376-K376)*J376))</f>
        <v/>
      </c>
      <c r="O376" s="99">
        <f>IF(OR(K376="",G376="",G376=0),"",IF(E376="LONG",(K376-G376)/G376,(G376-K376)/G376))</f>
        <v/>
      </c>
      <c r="P376" s="100">
        <f>IF(OR(N376="",H376="",G376="",ABS(G376-H376)=0),"",N376/(ABS(G376-H376)*J376))</f>
        <v/>
      </c>
      <c r="Q376" s="74">
        <f>IF(N376="","",IF(N376&gt;0,"WIN",IF(N376&lt;0,"LOSS","FLAT")))</f>
        <v/>
      </c>
      <c r="AC376" s="98">
        <f>IF(N376="","",N376-IF(Z376="",0,Z376))</f>
        <v/>
      </c>
    </row>
    <row r="377" ht="15" customHeight="1" s="75">
      <c r="A377" s="74">
        <f>IF(B377="","",ROW()-1)</f>
        <v/>
      </c>
      <c r="N377" s="98">
        <f>IF(OR(K377="",G377="",J377=""),"",IF(E377="LONG",(K377-G377)*J377,(G377-K377)*J377))</f>
        <v/>
      </c>
      <c r="O377" s="99">
        <f>IF(OR(K377="",G377="",G377=0),"",IF(E377="LONG",(K377-G377)/G377,(G377-K377)/G377))</f>
        <v/>
      </c>
      <c r="P377" s="100">
        <f>IF(OR(N377="",H377="",G377="",ABS(G377-H377)=0),"",N377/(ABS(G377-H377)*J377))</f>
        <v/>
      </c>
      <c r="Q377" s="74">
        <f>IF(N377="","",IF(N377&gt;0,"WIN",IF(N377&lt;0,"LOSS","FLAT")))</f>
        <v/>
      </c>
      <c r="AC377" s="98">
        <f>IF(N377="","",N377-IF(Z377="",0,Z377))</f>
        <v/>
      </c>
    </row>
    <row r="378" ht="15" customHeight="1" s="75">
      <c r="A378" s="74">
        <f>IF(B378="","",ROW()-1)</f>
        <v/>
      </c>
      <c r="N378" s="98">
        <f>IF(OR(K378="",G378="",J378=""),"",IF(E378="LONG",(K378-G378)*J378,(G378-K378)*J378))</f>
        <v/>
      </c>
      <c r="O378" s="99">
        <f>IF(OR(K378="",G378="",G378=0),"",IF(E378="LONG",(K378-G378)/G378,(G378-K378)/G378))</f>
        <v/>
      </c>
      <c r="P378" s="100">
        <f>IF(OR(N378="",H378="",G378="",ABS(G378-H378)=0),"",N378/(ABS(G378-H378)*J378))</f>
        <v/>
      </c>
      <c r="Q378" s="74">
        <f>IF(N378="","",IF(N378&gt;0,"WIN",IF(N378&lt;0,"LOSS","FLAT")))</f>
        <v/>
      </c>
      <c r="AC378" s="98">
        <f>IF(N378="","",N378-IF(Z378="",0,Z378))</f>
        <v/>
      </c>
    </row>
    <row r="379" ht="15" customHeight="1" s="75">
      <c r="A379" s="74">
        <f>IF(B379="","",ROW()-1)</f>
        <v/>
      </c>
      <c r="N379" s="98">
        <f>IF(OR(K379="",G379="",J379=""),"",IF(E379="LONG",(K379-G379)*J379,(G379-K379)*J379))</f>
        <v/>
      </c>
      <c r="O379" s="99">
        <f>IF(OR(K379="",G379="",G379=0),"",IF(E379="LONG",(K379-G379)/G379,(G379-K379)/G379))</f>
        <v/>
      </c>
      <c r="P379" s="100">
        <f>IF(OR(N379="",H379="",G379="",ABS(G379-H379)=0),"",N379/(ABS(G379-H379)*J379))</f>
        <v/>
      </c>
      <c r="Q379" s="74">
        <f>IF(N379="","",IF(N379&gt;0,"WIN",IF(N379&lt;0,"LOSS","FLAT")))</f>
        <v/>
      </c>
      <c r="AC379" s="98">
        <f>IF(N379="","",N379-IF(Z379="",0,Z379))</f>
        <v/>
      </c>
    </row>
    <row r="380" ht="15" customHeight="1" s="75">
      <c r="A380" s="74">
        <f>IF(B380="","",ROW()-1)</f>
        <v/>
      </c>
      <c r="N380" s="98">
        <f>IF(OR(K380="",G380="",J380=""),"",IF(E380="LONG",(K380-G380)*J380,(G380-K380)*J380))</f>
        <v/>
      </c>
      <c r="O380" s="99">
        <f>IF(OR(K380="",G380="",G380=0),"",IF(E380="LONG",(K380-G380)/G380,(G380-K380)/G380))</f>
        <v/>
      </c>
      <c r="P380" s="100">
        <f>IF(OR(N380="",H380="",G380="",ABS(G380-H380)=0),"",N380/(ABS(G380-H380)*J380))</f>
        <v/>
      </c>
      <c r="Q380" s="74">
        <f>IF(N380="","",IF(N380&gt;0,"WIN",IF(N380&lt;0,"LOSS","FLAT")))</f>
        <v/>
      </c>
      <c r="AC380" s="98">
        <f>IF(N380="","",N380-IF(Z380="",0,Z380))</f>
        <v/>
      </c>
    </row>
    <row r="381" ht="15" customHeight="1" s="75">
      <c r="A381" s="74">
        <f>IF(B381="","",ROW()-1)</f>
        <v/>
      </c>
      <c r="N381" s="98">
        <f>IF(OR(K381="",G381="",J381=""),"",IF(E381="LONG",(K381-G381)*J381,(G381-K381)*J381))</f>
        <v/>
      </c>
      <c r="O381" s="99">
        <f>IF(OR(K381="",G381="",G381=0),"",IF(E381="LONG",(K381-G381)/G381,(G381-K381)/G381))</f>
        <v/>
      </c>
      <c r="P381" s="100">
        <f>IF(OR(N381="",H381="",G381="",ABS(G381-H381)=0),"",N381/(ABS(G381-H381)*J381))</f>
        <v/>
      </c>
      <c r="Q381" s="74">
        <f>IF(N381="","",IF(N381&gt;0,"WIN",IF(N381&lt;0,"LOSS","FLAT")))</f>
        <v/>
      </c>
      <c r="AC381" s="98">
        <f>IF(N381="","",N381-IF(Z381="",0,Z381))</f>
        <v/>
      </c>
    </row>
    <row r="382" ht="15" customHeight="1" s="75">
      <c r="A382" s="74">
        <f>IF(B382="","",ROW()-1)</f>
        <v/>
      </c>
      <c r="N382" s="98">
        <f>IF(OR(K382="",G382="",J382=""),"",IF(E382="LONG",(K382-G382)*J382,(G382-K382)*J382))</f>
        <v/>
      </c>
      <c r="O382" s="99">
        <f>IF(OR(K382="",G382="",G382=0),"",IF(E382="LONG",(K382-G382)/G382,(G382-K382)/G382))</f>
        <v/>
      </c>
      <c r="P382" s="100">
        <f>IF(OR(N382="",H382="",G382="",ABS(G382-H382)=0),"",N382/(ABS(G382-H382)*J382))</f>
        <v/>
      </c>
      <c r="Q382" s="74">
        <f>IF(N382="","",IF(N382&gt;0,"WIN",IF(N382&lt;0,"LOSS","FLAT")))</f>
        <v/>
      </c>
      <c r="AC382" s="98">
        <f>IF(N382="","",N382-IF(Z382="",0,Z382))</f>
        <v/>
      </c>
    </row>
    <row r="383" ht="15" customHeight="1" s="75">
      <c r="A383" s="74">
        <f>IF(B383="","",ROW()-1)</f>
        <v/>
      </c>
      <c r="N383" s="98">
        <f>IF(OR(K383="",G383="",J383=""),"",IF(E383="LONG",(K383-G383)*J383,(G383-K383)*J383))</f>
        <v/>
      </c>
      <c r="O383" s="99">
        <f>IF(OR(K383="",G383="",G383=0),"",IF(E383="LONG",(K383-G383)/G383,(G383-K383)/G383))</f>
        <v/>
      </c>
      <c r="P383" s="100">
        <f>IF(OR(N383="",H383="",G383="",ABS(G383-H383)=0),"",N383/(ABS(G383-H383)*J383))</f>
        <v/>
      </c>
      <c r="Q383" s="74">
        <f>IF(N383="","",IF(N383&gt;0,"WIN",IF(N383&lt;0,"LOSS","FLAT")))</f>
        <v/>
      </c>
      <c r="AC383" s="98">
        <f>IF(N383="","",N383-IF(Z383="",0,Z383))</f>
        <v/>
      </c>
    </row>
    <row r="384" ht="15" customHeight="1" s="75">
      <c r="A384" s="74">
        <f>IF(B384="","",ROW()-1)</f>
        <v/>
      </c>
      <c r="N384" s="98">
        <f>IF(OR(K384="",G384="",J384=""),"",IF(E384="LONG",(K384-G384)*J384,(G384-K384)*J384))</f>
        <v/>
      </c>
      <c r="O384" s="99">
        <f>IF(OR(K384="",G384="",G384=0),"",IF(E384="LONG",(K384-G384)/G384,(G384-K384)/G384))</f>
        <v/>
      </c>
      <c r="P384" s="100">
        <f>IF(OR(N384="",H384="",G384="",ABS(G384-H384)=0),"",N384/(ABS(G384-H384)*J384))</f>
        <v/>
      </c>
      <c r="Q384" s="74">
        <f>IF(N384="","",IF(N384&gt;0,"WIN",IF(N384&lt;0,"LOSS","FLAT")))</f>
        <v/>
      </c>
      <c r="AC384" s="98">
        <f>IF(N384="","",N384-IF(Z384="",0,Z384))</f>
        <v/>
      </c>
    </row>
    <row r="385" ht="15" customHeight="1" s="75">
      <c r="A385" s="74">
        <f>IF(B385="","",ROW()-1)</f>
        <v/>
      </c>
      <c r="N385" s="98">
        <f>IF(OR(K385="",G385="",J385=""),"",IF(E385="LONG",(K385-G385)*J385,(G385-K385)*J385))</f>
        <v/>
      </c>
      <c r="O385" s="99">
        <f>IF(OR(K385="",G385="",G385=0),"",IF(E385="LONG",(K385-G385)/G385,(G385-K385)/G385))</f>
        <v/>
      </c>
      <c r="P385" s="100">
        <f>IF(OR(N385="",H385="",G385="",ABS(G385-H385)=0),"",N385/(ABS(G385-H385)*J385))</f>
        <v/>
      </c>
      <c r="Q385" s="74">
        <f>IF(N385="","",IF(N385&gt;0,"WIN",IF(N385&lt;0,"LOSS","FLAT")))</f>
        <v/>
      </c>
      <c r="AC385" s="98">
        <f>IF(N385="","",N385-IF(Z385="",0,Z385))</f>
        <v/>
      </c>
    </row>
    <row r="386" ht="15" customHeight="1" s="75">
      <c r="A386" s="74">
        <f>IF(B386="","",ROW()-1)</f>
        <v/>
      </c>
      <c r="N386" s="98">
        <f>IF(OR(K386="",G386="",J386=""),"",IF(E386="LONG",(K386-G386)*J386,(G386-K386)*J386))</f>
        <v/>
      </c>
      <c r="O386" s="99">
        <f>IF(OR(K386="",G386="",G386=0),"",IF(E386="LONG",(K386-G386)/G386,(G386-K386)/G386))</f>
        <v/>
      </c>
      <c r="P386" s="100">
        <f>IF(OR(N386="",H386="",G386="",ABS(G386-H386)=0),"",N386/(ABS(G386-H386)*J386))</f>
        <v/>
      </c>
      <c r="Q386" s="74">
        <f>IF(N386="","",IF(N386&gt;0,"WIN",IF(N386&lt;0,"LOSS","FLAT")))</f>
        <v/>
      </c>
      <c r="AC386" s="98">
        <f>IF(N386="","",N386-IF(Z386="",0,Z386))</f>
        <v/>
      </c>
    </row>
    <row r="387" ht="15" customHeight="1" s="75">
      <c r="A387" s="74">
        <f>IF(B387="","",ROW()-1)</f>
        <v/>
      </c>
      <c r="N387" s="98">
        <f>IF(OR(K387="",G387="",J387=""),"",IF(E387="LONG",(K387-G387)*J387,(G387-K387)*J387))</f>
        <v/>
      </c>
      <c r="O387" s="99">
        <f>IF(OR(K387="",G387="",G387=0),"",IF(E387="LONG",(K387-G387)/G387,(G387-K387)/G387))</f>
        <v/>
      </c>
      <c r="P387" s="100">
        <f>IF(OR(N387="",H387="",G387="",ABS(G387-H387)=0),"",N387/(ABS(G387-H387)*J387))</f>
        <v/>
      </c>
      <c r="Q387" s="74">
        <f>IF(N387="","",IF(N387&gt;0,"WIN",IF(N387&lt;0,"LOSS","FLAT")))</f>
        <v/>
      </c>
      <c r="AC387" s="98">
        <f>IF(N387="","",N387-IF(Z387="",0,Z387))</f>
        <v/>
      </c>
    </row>
    <row r="388" ht="15" customHeight="1" s="75">
      <c r="A388" s="74">
        <f>IF(B388="","",ROW()-1)</f>
        <v/>
      </c>
      <c r="N388" s="98">
        <f>IF(OR(K388="",G388="",J388=""),"",IF(E388="LONG",(K388-G388)*J388,(G388-K388)*J388))</f>
        <v/>
      </c>
      <c r="O388" s="99">
        <f>IF(OR(K388="",G388="",G388=0),"",IF(E388="LONG",(K388-G388)/G388,(G388-K388)/G388))</f>
        <v/>
      </c>
      <c r="P388" s="100">
        <f>IF(OR(N388="",H388="",G388="",ABS(G388-H388)=0),"",N388/(ABS(G388-H388)*J388))</f>
        <v/>
      </c>
      <c r="Q388" s="74">
        <f>IF(N388="","",IF(N388&gt;0,"WIN",IF(N388&lt;0,"LOSS","FLAT")))</f>
        <v/>
      </c>
      <c r="AC388" s="98">
        <f>IF(N388="","",N388-IF(Z388="",0,Z388))</f>
        <v/>
      </c>
    </row>
    <row r="389" ht="15" customHeight="1" s="75">
      <c r="A389" s="74">
        <f>IF(B389="","",ROW()-1)</f>
        <v/>
      </c>
      <c r="N389" s="98">
        <f>IF(OR(K389="",G389="",J389=""),"",IF(E389="LONG",(K389-G389)*J389,(G389-K389)*J389))</f>
        <v/>
      </c>
      <c r="O389" s="99">
        <f>IF(OR(K389="",G389="",G389=0),"",IF(E389="LONG",(K389-G389)/G389,(G389-K389)/G389))</f>
        <v/>
      </c>
      <c r="P389" s="100">
        <f>IF(OR(N389="",H389="",G389="",ABS(G389-H389)=0),"",N389/(ABS(G389-H389)*J389))</f>
        <v/>
      </c>
      <c r="Q389" s="74">
        <f>IF(N389="","",IF(N389&gt;0,"WIN",IF(N389&lt;0,"LOSS","FLAT")))</f>
        <v/>
      </c>
      <c r="AC389" s="98">
        <f>IF(N389="","",N389-IF(Z389="",0,Z389))</f>
        <v/>
      </c>
    </row>
    <row r="390" ht="15" customHeight="1" s="75">
      <c r="A390" s="74">
        <f>IF(B390="","",ROW()-1)</f>
        <v/>
      </c>
      <c r="N390" s="98">
        <f>IF(OR(K390="",G390="",J390=""),"",IF(E390="LONG",(K390-G390)*J390,(G390-K390)*J390))</f>
        <v/>
      </c>
      <c r="O390" s="99">
        <f>IF(OR(K390="",G390="",G390=0),"",IF(E390="LONG",(K390-G390)/G390,(G390-K390)/G390))</f>
        <v/>
      </c>
      <c r="P390" s="100">
        <f>IF(OR(N390="",H390="",G390="",ABS(G390-H390)=0),"",N390/(ABS(G390-H390)*J390))</f>
        <v/>
      </c>
      <c r="Q390" s="74">
        <f>IF(N390="","",IF(N390&gt;0,"WIN",IF(N390&lt;0,"LOSS","FLAT")))</f>
        <v/>
      </c>
      <c r="AC390" s="98">
        <f>IF(N390="","",N390-IF(Z390="",0,Z390))</f>
        <v/>
      </c>
    </row>
    <row r="391" ht="15" customHeight="1" s="75">
      <c r="A391" s="74">
        <f>IF(B391="","",ROW()-1)</f>
        <v/>
      </c>
      <c r="N391" s="98">
        <f>IF(OR(K391="",G391="",J391=""),"",IF(E391="LONG",(K391-G391)*J391,(G391-K391)*J391))</f>
        <v/>
      </c>
      <c r="O391" s="99">
        <f>IF(OR(K391="",G391="",G391=0),"",IF(E391="LONG",(K391-G391)/G391,(G391-K391)/G391))</f>
        <v/>
      </c>
      <c r="P391" s="100">
        <f>IF(OR(N391="",H391="",G391="",ABS(G391-H391)=0),"",N391/(ABS(G391-H391)*J391))</f>
        <v/>
      </c>
      <c r="Q391" s="74">
        <f>IF(N391="","",IF(N391&gt;0,"WIN",IF(N391&lt;0,"LOSS","FLAT")))</f>
        <v/>
      </c>
      <c r="AC391" s="98">
        <f>IF(N391="","",N391-IF(Z391="",0,Z391))</f>
        <v/>
      </c>
    </row>
    <row r="392" ht="15" customHeight="1" s="75">
      <c r="A392" s="74">
        <f>IF(B392="","",ROW()-1)</f>
        <v/>
      </c>
      <c r="N392" s="98">
        <f>IF(OR(K392="",G392="",J392=""),"",IF(E392="LONG",(K392-G392)*J392,(G392-K392)*J392))</f>
        <v/>
      </c>
      <c r="O392" s="99">
        <f>IF(OR(K392="",G392="",G392=0),"",IF(E392="LONG",(K392-G392)/G392,(G392-K392)/G392))</f>
        <v/>
      </c>
      <c r="P392" s="100">
        <f>IF(OR(N392="",H392="",G392="",ABS(G392-H392)=0),"",N392/(ABS(G392-H392)*J392))</f>
        <v/>
      </c>
      <c r="Q392" s="74">
        <f>IF(N392="","",IF(N392&gt;0,"WIN",IF(N392&lt;0,"LOSS","FLAT")))</f>
        <v/>
      </c>
      <c r="AC392" s="98">
        <f>IF(N392="","",N392-IF(Z392="",0,Z392))</f>
        <v/>
      </c>
    </row>
    <row r="393" ht="15" customHeight="1" s="75">
      <c r="A393" s="74">
        <f>IF(B393="","",ROW()-1)</f>
        <v/>
      </c>
      <c r="N393" s="98">
        <f>IF(OR(K393="",G393="",J393=""),"",IF(E393="LONG",(K393-G393)*J393,(G393-K393)*J393))</f>
        <v/>
      </c>
      <c r="O393" s="99">
        <f>IF(OR(K393="",G393="",G393=0),"",IF(E393="LONG",(K393-G393)/G393,(G393-K393)/G393))</f>
        <v/>
      </c>
      <c r="P393" s="100">
        <f>IF(OR(N393="",H393="",G393="",ABS(G393-H393)=0),"",N393/(ABS(G393-H393)*J393))</f>
        <v/>
      </c>
      <c r="Q393" s="74">
        <f>IF(N393="","",IF(N393&gt;0,"WIN",IF(N393&lt;0,"LOSS","FLAT")))</f>
        <v/>
      </c>
      <c r="AC393" s="98">
        <f>IF(N393="","",N393-IF(Z393="",0,Z393))</f>
        <v/>
      </c>
    </row>
    <row r="394" ht="15" customHeight="1" s="75">
      <c r="A394" s="74">
        <f>IF(B394="","",ROW()-1)</f>
        <v/>
      </c>
      <c r="N394" s="98">
        <f>IF(OR(K394="",G394="",J394=""),"",IF(E394="LONG",(K394-G394)*J394,(G394-K394)*J394))</f>
        <v/>
      </c>
      <c r="O394" s="99">
        <f>IF(OR(K394="",G394="",G394=0),"",IF(E394="LONG",(K394-G394)/G394,(G394-K394)/G394))</f>
        <v/>
      </c>
      <c r="P394" s="100">
        <f>IF(OR(N394="",H394="",G394="",ABS(G394-H394)=0),"",N394/(ABS(G394-H394)*J394))</f>
        <v/>
      </c>
      <c r="Q394" s="74">
        <f>IF(N394="","",IF(N394&gt;0,"WIN",IF(N394&lt;0,"LOSS","FLAT")))</f>
        <v/>
      </c>
      <c r="AC394" s="98">
        <f>IF(N394="","",N394-IF(Z394="",0,Z394))</f>
        <v/>
      </c>
    </row>
    <row r="395" ht="15" customHeight="1" s="75">
      <c r="A395" s="74">
        <f>IF(B395="","",ROW()-1)</f>
        <v/>
      </c>
      <c r="N395" s="98">
        <f>IF(OR(K395="",G395="",J395=""),"",IF(E395="LONG",(K395-G395)*J395,(G395-K395)*J395))</f>
        <v/>
      </c>
      <c r="O395" s="99">
        <f>IF(OR(K395="",G395="",G395=0),"",IF(E395="LONG",(K395-G395)/G395,(G395-K395)/G395))</f>
        <v/>
      </c>
      <c r="P395" s="100">
        <f>IF(OR(N395="",H395="",G395="",ABS(G395-H395)=0),"",N395/(ABS(G395-H395)*J395))</f>
        <v/>
      </c>
      <c r="Q395" s="74">
        <f>IF(N395="","",IF(N395&gt;0,"WIN",IF(N395&lt;0,"LOSS","FLAT")))</f>
        <v/>
      </c>
      <c r="AC395" s="98">
        <f>IF(N395="","",N395-IF(Z395="",0,Z395))</f>
        <v/>
      </c>
    </row>
    <row r="396" ht="15" customHeight="1" s="75">
      <c r="A396" s="74">
        <f>IF(B396="","",ROW()-1)</f>
        <v/>
      </c>
      <c r="N396" s="98">
        <f>IF(OR(K396="",G396="",J396=""),"",IF(E396="LONG",(K396-G396)*J396,(G396-K396)*J396))</f>
        <v/>
      </c>
      <c r="O396" s="99">
        <f>IF(OR(K396="",G396="",G396=0),"",IF(E396="LONG",(K396-G396)/G396,(G396-K396)/G396))</f>
        <v/>
      </c>
      <c r="P396" s="100">
        <f>IF(OR(N396="",H396="",G396="",ABS(G396-H396)=0),"",N396/(ABS(G396-H396)*J396))</f>
        <v/>
      </c>
      <c r="Q396" s="74">
        <f>IF(N396="","",IF(N396&gt;0,"WIN",IF(N396&lt;0,"LOSS","FLAT")))</f>
        <v/>
      </c>
      <c r="AC396" s="98">
        <f>IF(N396="","",N396-IF(Z396="",0,Z396))</f>
        <v/>
      </c>
    </row>
    <row r="397" ht="15" customHeight="1" s="75">
      <c r="A397" s="74">
        <f>IF(B397="","",ROW()-1)</f>
        <v/>
      </c>
      <c r="N397" s="98">
        <f>IF(OR(K397="",G397="",J397=""),"",IF(E397="LONG",(K397-G397)*J397,(G397-K397)*J397))</f>
        <v/>
      </c>
      <c r="O397" s="99">
        <f>IF(OR(K397="",G397="",G397=0),"",IF(E397="LONG",(K397-G397)/G397,(G397-K397)/G397))</f>
        <v/>
      </c>
      <c r="P397" s="100">
        <f>IF(OR(N397="",H397="",G397="",ABS(G397-H397)=0),"",N397/(ABS(G397-H397)*J397))</f>
        <v/>
      </c>
      <c r="Q397" s="74">
        <f>IF(N397="","",IF(N397&gt;0,"WIN",IF(N397&lt;0,"LOSS","FLAT")))</f>
        <v/>
      </c>
      <c r="AC397" s="98">
        <f>IF(N397="","",N397-IF(Z397="",0,Z397))</f>
        <v/>
      </c>
    </row>
    <row r="398" ht="15" customHeight="1" s="75">
      <c r="A398" s="74">
        <f>IF(B398="","",ROW()-1)</f>
        <v/>
      </c>
      <c r="N398" s="98">
        <f>IF(OR(K398="",G398="",J398=""),"",IF(E398="LONG",(K398-G398)*J398,(G398-K398)*J398))</f>
        <v/>
      </c>
      <c r="O398" s="99">
        <f>IF(OR(K398="",G398="",G398=0),"",IF(E398="LONG",(K398-G398)/G398,(G398-K398)/G398))</f>
        <v/>
      </c>
      <c r="P398" s="100">
        <f>IF(OR(N398="",H398="",G398="",ABS(G398-H398)=0),"",N398/(ABS(G398-H398)*J398))</f>
        <v/>
      </c>
      <c r="Q398" s="74">
        <f>IF(N398="","",IF(N398&gt;0,"WIN",IF(N398&lt;0,"LOSS","FLAT")))</f>
        <v/>
      </c>
      <c r="AC398" s="98">
        <f>IF(N398="","",N398-IF(Z398="",0,Z398))</f>
        <v/>
      </c>
    </row>
    <row r="399" ht="15" customHeight="1" s="75">
      <c r="A399" s="74">
        <f>IF(B399="","",ROW()-1)</f>
        <v/>
      </c>
      <c r="N399" s="98">
        <f>IF(OR(K399="",G399="",J399=""),"",IF(E399="LONG",(K399-G399)*J399,(G399-K399)*J399))</f>
        <v/>
      </c>
      <c r="O399" s="99">
        <f>IF(OR(K399="",G399="",G399=0),"",IF(E399="LONG",(K399-G399)/G399,(G399-K399)/G399))</f>
        <v/>
      </c>
      <c r="P399" s="100">
        <f>IF(OR(N399="",H399="",G399="",ABS(G399-H399)=0),"",N399/(ABS(G399-H399)*J399))</f>
        <v/>
      </c>
      <c r="Q399" s="74">
        <f>IF(N399="","",IF(N399&gt;0,"WIN",IF(N399&lt;0,"LOSS","FLAT")))</f>
        <v/>
      </c>
      <c r="AC399" s="98">
        <f>IF(N399="","",N399-IF(Z399="",0,Z399))</f>
        <v/>
      </c>
    </row>
    <row r="400" ht="15" customHeight="1" s="75">
      <c r="A400" s="74">
        <f>IF(B400="","",ROW()-1)</f>
        <v/>
      </c>
      <c r="N400" s="98">
        <f>IF(OR(K400="",G400="",J400=""),"",IF(E400="LONG",(K400-G400)*J400,(G400-K400)*J400))</f>
        <v/>
      </c>
      <c r="O400" s="99">
        <f>IF(OR(K400="",G400="",G400=0),"",IF(E400="LONG",(K400-G400)/G400,(G400-K400)/G400))</f>
        <v/>
      </c>
      <c r="P400" s="100">
        <f>IF(OR(N400="",H400="",G400="",ABS(G400-H400)=0),"",N400/(ABS(G400-H400)*J400))</f>
        <v/>
      </c>
      <c r="Q400" s="74">
        <f>IF(N400="","",IF(N400&gt;0,"WIN",IF(N400&lt;0,"LOSS","FLAT")))</f>
        <v/>
      </c>
      <c r="AC400" s="98">
        <f>IF(N400="","",N400-IF(Z400="",0,Z400))</f>
        <v/>
      </c>
    </row>
    <row r="401" ht="15" customHeight="1" s="75">
      <c r="A401" s="74">
        <f>IF(B401="","",ROW()-1)</f>
        <v/>
      </c>
      <c r="N401" s="98">
        <f>IF(OR(K401="",G401="",J401=""),"",IF(E401="LONG",(K401-G401)*J401,(G401-K401)*J401))</f>
        <v/>
      </c>
      <c r="O401" s="99">
        <f>IF(OR(K401="",G401="",G401=0),"",IF(E401="LONG",(K401-G401)/G401,(G401-K401)/G401))</f>
        <v/>
      </c>
      <c r="P401" s="100">
        <f>IF(OR(N401="",H401="",G401="",ABS(G401-H401)=0),"",N401/(ABS(G401-H401)*J401))</f>
        <v/>
      </c>
      <c r="Q401" s="74">
        <f>IF(N401="","",IF(N401&gt;0,"WIN",IF(N401&lt;0,"LOSS","FLAT")))</f>
        <v/>
      </c>
      <c r="AC401" s="98">
        <f>IF(N401="","",N401-IF(Z401="",0,Z401))</f>
        <v/>
      </c>
    </row>
    <row r="402" ht="15" customHeight="1" s="75">
      <c r="A402" s="74">
        <f>IF(B402="","",ROW()-1)</f>
        <v/>
      </c>
      <c r="N402" s="98">
        <f>IF(OR(K402="",G402="",J402=""),"",IF(E402="LONG",(K402-G402)*J402,(G402-K402)*J402))</f>
        <v/>
      </c>
      <c r="O402" s="99">
        <f>IF(OR(K402="",G402="",G402=0),"",IF(E402="LONG",(K402-G402)/G402,(G402-K402)/G402))</f>
        <v/>
      </c>
      <c r="P402" s="100">
        <f>IF(OR(N402="",H402="",G402="",ABS(G402-H402)=0),"",N402/(ABS(G402-H402)*J402))</f>
        <v/>
      </c>
      <c r="Q402" s="74">
        <f>IF(N402="","",IF(N402&gt;0,"WIN",IF(N402&lt;0,"LOSS","FLAT")))</f>
        <v/>
      </c>
      <c r="AC402" s="98">
        <f>IF(N402="","",N402-IF(Z402="",0,Z402))</f>
        <v/>
      </c>
    </row>
    <row r="403" ht="15" customHeight="1" s="75">
      <c r="A403" s="74">
        <f>IF(B403="","",ROW()-1)</f>
        <v/>
      </c>
      <c r="N403" s="98">
        <f>IF(OR(K403="",G403="",J403=""),"",IF(E403="LONG",(K403-G403)*J403,(G403-K403)*J403))</f>
        <v/>
      </c>
      <c r="O403" s="99">
        <f>IF(OR(K403="",G403="",G403=0),"",IF(E403="LONG",(K403-G403)/G403,(G403-K403)/G403))</f>
        <v/>
      </c>
      <c r="P403" s="100">
        <f>IF(OR(N403="",H403="",G403="",ABS(G403-H403)=0),"",N403/(ABS(G403-H403)*J403))</f>
        <v/>
      </c>
      <c r="Q403" s="74">
        <f>IF(N403="","",IF(N403&gt;0,"WIN",IF(N403&lt;0,"LOSS","FLAT")))</f>
        <v/>
      </c>
      <c r="AC403" s="98">
        <f>IF(N403="","",N403-IF(Z403="",0,Z403))</f>
        <v/>
      </c>
    </row>
    <row r="404" ht="15" customHeight="1" s="75">
      <c r="A404" s="74">
        <f>IF(B404="","",ROW()-1)</f>
        <v/>
      </c>
      <c r="N404" s="98">
        <f>IF(OR(K404="",G404="",J404=""),"",IF(E404="LONG",(K404-G404)*J404,(G404-K404)*J404))</f>
        <v/>
      </c>
      <c r="O404" s="99">
        <f>IF(OR(K404="",G404="",G404=0),"",IF(E404="LONG",(K404-G404)/G404,(G404-K404)/G404))</f>
        <v/>
      </c>
      <c r="P404" s="100">
        <f>IF(OR(N404="",H404="",G404="",ABS(G404-H404)=0),"",N404/(ABS(G404-H404)*J404))</f>
        <v/>
      </c>
      <c r="Q404" s="74">
        <f>IF(N404="","",IF(N404&gt;0,"WIN",IF(N404&lt;0,"LOSS","FLAT")))</f>
        <v/>
      </c>
      <c r="AC404" s="98">
        <f>IF(N404="","",N404-IF(Z404="",0,Z404))</f>
        <v/>
      </c>
    </row>
    <row r="405" ht="15" customHeight="1" s="75">
      <c r="A405" s="74">
        <f>IF(B405="","",ROW()-1)</f>
        <v/>
      </c>
      <c r="N405" s="98">
        <f>IF(OR(K405="",G405="",J405=""),"",IF(E405="LONG",(K405-G405)*J405,(G405-K405)*J405))</f>
        <v/>
      </c>
      <c r="O405" s="99">
        <f>IF(OR(K405="",G405="",G405=0),"",IF(E405="LONG",(K405-G405)/G405,(G405-K405)/G405))</f>
        <v/>
      </c>
      <c r="P405" s="100">
        <f>IF(OR(N405="",H405="",G405="",ABS(G405-H405)=0),"",N405/(ABS(G405-H405)*J405))</f>
        <v/>
      </c>
      <c r="Q405" s="74">
        <f>IF(N405="","",IF(N405&gt;0,"WIN",IF(N405&lt;0,"LOSS","FLAT")))</f>
        <v/>
      </c>
      <c r="AC405" s="98">
        <f>IF(N405="","",N405-IF(Z405="",0,Z405))</f>
        <v/>
      </c>
    </row>
    <row r="406" ht="15" customHeight="1" s="75">
      <c r="A406" s="74">
        <f>IF(B406="","",ROW()-1)</f>
        <v/>
      </c>
      <c r="N406" s="98">
        <f>IF(OR(K406="",G406="",J406=""),"",IF(E406="LONG",(K406-G406)*J406,(G406-K406)*J406))</f>
        <v/>
      </c>
      <c r="O406" s="99">
        <f>IF(OR(K406="",G406="",G406=0),"",IF(E406="LONG",(K406-G406)/G406,(G406-K406)/G406))</f>
        <v/>
      </c>
      <c r="P406" s="100">
        <f>IF(OR(N406="",H406="",G406="",ABS(G406-H406)=0),"",N406/(ABS(G406-H406)*J406))</f>
        <v/>
      </c>
      <c r="Q406" s="74">
        <f>IF(N406="","",IF(N406&gt;0,"WIN",IF(N406&lt;0,"LOSS","FLAT")))</f>
        <v/>
      </c>
      <c r="AC406" s="98">
        <f>IF(N406="","",N406-IF(Z406="",0,Z406))</f>
        <v/>
      </c>
    </row>
    <row r="407" ht="15" customHeight="1" s="75">
      <c r="A407" s="74">
        <f>IF(B407="","",ROW()-1)</f>
        <v/>
      </c>
      <c r="N407" s="98">
        <f>IF(OR(K407="",G407="",J407=""),"",IF(E407="LONG",(K407-G407)*J407,(G407-K407)*J407))</f>
        <v/>
      </c>
      <c r="O407" s="99">
        <f>IF(OR(K407="",G407="",G407=0),"",IF(E407="LONG",(K407-G407)/G407,(G407-K407)/G407))</f>
        <v/>
      </c>
      <c r="P407" s="100">
        <f>IF(OR(N407="",H407="",G407="",ABS(G407-H407)=0),"",N407/(ABS(G407-H407)*J407))</f>
        <v/>
      </c>
      <c r="Q407" s="74">
        <f>IF(N407="","",IF(N407&gt;0,"WIN",IF(N407&lt;0,"LOSS","FLAT")))</f>
        <v/>
      </c>
      <c r="AC407" s="98">
        <f>IF(N407="","",N407-IF(Z407="",0,Z407))</f>
        <v/>
      </c>
    </row>
    <row r="408" ht="15" customHeight="1" s="75">
      <c r="A408" s="74">
        <f>IF(B408="","",ROW()-1)</f>
        <v/>
      </c>
      <c r="N408" s="98">
        <f>IF(OR(K408="",G408="",J408=""),"",IF(E408="LONG",(K408-G408)*J408,(G408-K408)*J408))</f>
        <v/>
      </c>
      <c r="O408" s="99">
        <f>IF(OR(K408="",G408="",G408=0),"",IF(E408="LONG",(K408-G408)/G408,(G408-K408)/G408))</f>
        <v/>
      </c>
      <c r="P408" s="100">
        <f>IF(OR(N408="",H408="",G408="",ABS(G408-H408)=0),"",N408/(ABS(G408-H408)*J408))</f>
        <v/>
      </c>
      <c r="Q408" s="74">
        <f>IF(N408="","",IF(N408&gt;0,"WIN",IF(N408&lt;0,"LOSS","FLAT")))</f>
        <v/>
      </c>
      <c r="AC408" s="98">
        <f>IF(N408="","",N408-IF(Z408="",0,Z408))</f>
        <v/>
      </c>
    </row>
    <row r="409" ht="15" customHeight="1" s="75">
      <c r="A409" s="74">
        <f>IF(B409="","",ROW()-1)</f>
        <v/>
      </c>
      <c r="N409" s="98">
        <f>IF(OR(K409="",G409="",J409=""),"",IF(E409="LONG",(K409-G409)*J409,(G409-K409)*J409))</f>
        <v/>
      </c>
      <c r="O409" s="99">
        <f>IF(OR(K409="",G409="",G409=0),"",IF(E409="LONG",(K409-G409)/G409,(G409-K409)/G409))</f>
        <v/>
      </c>
      <c r="P409" s="100">
        <f>IF(OR(N409="",H409="",G409="",ABS(G409-H409)=0),"",N409/(ABS(G409-H409)*J409))</f>
        <v/>
      </c>
      <c r="Q409" s="74">
        <f>IF(N409="","",IF(N409&gt;0,"WIN",IF(N409&lt;0,"LOSS","FLAT")))</f>
        <v/>
      </c>
      <c r="AC409" s="98">
        <f>IF(N409="","",N409-IF(Z409="",0,Z409))</f>
        <v/>
      </c>
    </row>
    <row r="410" ht="15" customHeight="1" s="75">
      <c r="A410" s="74">
        <f>IF(B410="","",ROW()-1)</f>
        <v/>
      </c>
      <c r="N410" s="98">
        <f>IF(OR(K410="",G410="",J410=""),"",IF(E410="LONG",(K410-G410)*J410,(G410-K410)*J410))</f>
        <v/>
      </c>
      <c r="O410" s="99">
        <f>IF(OR(K410="",G410="",G410=0),"",IF(E410="LONG",(K410-G410)/G410,(G410-K410)/G410))</f>
        <v/>
      </c>
      <c r="P410" s="100">
        <f>IF(OR(N410="",H410="",G410="",ABS(G410-H410)=0),"",N410/(ABS(G410-H410)*J410))</f>
        <v/>
      </c>
      <c r="Q410" s="74">
        <f>IF(N410="","",IF(N410&gt;0,"WIN",IF(N410&lt;0,"LOSS","FLAT")))</f>
        <v/>
      </c>
      <c r="AC410" s="98">
        <f>IF(N410="","",N410-IF(Z410="",0,Z410))</f>
        <v/>
      </c>
    </row>
    <row r="411" ht="15" customHeight="1" s="75">
      <c r="A411" s="74">
        <f>IF(B411="","",ROW()-1)</f>
        <v/>
      </c>
      <c r="N411" s="98">
        <f>IF(OR(K411="",G411="",J411=""),"",IF(E411="LONG",(K411-G411)*J411,(G411-K411)*J411))</f>
        <v/>
      </c>
      <c r="O411" s="99">
        <f>IF(OR(K411="",G411="",G411=0),"",IF(E411="LONG",(K411-G411)/G411,(G411-K411)/G411))</f>
        <v/>
      </c>
      <c r="P411" s="100">
        <f>IF(OR(N411="",H411="",G411="",ABS(G411-H411)=0),"",N411/(ABS(G411-H411)*J411))</f>
        <v/>
      </c>
      <c r="Q411" s="74">
        <f>IF(N411="","",IF(N411&gt;0,"WIN",IF(N411&lt;0,"LOSS","FLAT")))</f>
        <v/>
      </c>
      <c r="AC411" s="98">
        <f>IF(N411="","",N411-IF(Z411="",0,Z411))</f>
        <v/>
      </c>
    </row>
    <row r="412" ht="15" customHeight="1" s="75">
      <c r="A412" s="74">
        <f>IF(B412="","",ROW()-1)</f>
        <v/>
      </c>
      <c r="N412" s="98">
        <f>IF(OR(K412="",G412="",J412=""),"",IF(E412="LONG",(K412-G412)*J412,(G412-K412)*J412))</f>
        <v/>
      </c>
      <c r="O412" s="99">
        <f>IF(OR(K412="",G412="",G412=0),"",IF(E412="LONG",(K412-G412)/G412,(G412-K412)/G412))</f>
        <v/>
      </c>
      <c r="P412" s="100">
        <f>IF(OR(N412="",H412="",G412="",ABS(G412-H412)=0),"",N412/(ABS(G412-H412)*J412))</f>
        <v/>
      </c>
      <c r="Q412" s="74">
        <f>IF(N412="","",IF(N412&gt;0,"WIN",IF(N412&lt;0,"LOSS","FLAT")))</f>
        <v/>
      </c>
      <c r="AC412" s="98">
        <f>IF(N412="","",N412-IF(Z412="",0,Z412))</f>
        <v/>
      </c>
    </row>
    <row r="413" ht="15" customHeight="1" s="75">
      <c r="A413" s="74">
        <f>IF(B413="","",ROW()-1)</f>
        <v/>
      </c>
      <c r="N413" s="98">
        <f>IF(OR(K413="",G413="",J413=""),"",IF(E413="LONG",(K413-G413)*J413,(G413-K413)*J413))</f>
        <v/>
      </c>
      <c r="O413" s="99">
        <f>IF(OR(K413="",G413="",G413=0),"",IF(E413="LONG",(K413-G413)/G413,(G413-K413)/G413))</f>
        <v/>
      </c>
      <c r="P413" s="100">
        <f>IF(OR(N413="",H413="",G413="",ABS(G413-H413)=0),"",N413/(ABS(G413-H413)*J413))</f>
        <v/>
      </c>
      <c r="Q413" s="74">
        <f>IF(N413="","",IF(N413&gt;0,"WIN",IF(N413&lt;0,"LOSS","FLAT")))</f>
        <v/>
      </c>
      <c r="AC413" s="98">
        <f>IF(N413="","",N413-IF(Z413="",0,Z413))</f>
        <v/>
      </c>
    </row>
    <row r="414" ht="15" customHeight="1" s="75">
      <c r="A414" s="74">
        <f>IF(B414="","",ROW()-1)</f>
        <v/>
      </c>
      <c r="N414" s="98">
        <f>IF(OR(K414="",G414="",J414=""),"",IF(E414="LONG",(K414-G414)*J414,(G414-K414)*J414))</f>
        <v/>
      </c>
      <c r="O414" s="99">
        <f>IF(OR(K414="",G414="",G414=0),"",IF(E414="LONG",(K414-G414)/G414,(G414-K414)/G414))</f>
        <v/>
      </c>
      <c r="P414" s="100">
        <f>IF(OR(N414="",H414="",G414="",ABS(G414-H414)=0),"",N414/(ABS(G414-H414)*J414))</f>
        <v/>
      </c>
      <c r="Q414" s="74">
        <f>IF(N414="","",IF(N414&gt;0,"WIN",IF(N414&lt;0,"LOSS","FLAT")))</f>
        <v/>
      </c>
      <c r="AC414" s="98">
        <f>IF(N414="","",N414-IF(Z414="",0,Z414))</f>
        <v/>
      </c>
    </row>
    <row r="415" ht="15" customHeight="1" s="75">
      <c r="A415" s="74">
        <f>IF(B415="","",ROW()-1)</f>
        <v/>
      </c>
      <c r="N415" s="98">
        <f>IF(OR(K415="",G415="",J415=""),"",IF(E415="LONG",(K415-G415)*J415,(G415-K415)*J415))</f>
        <v/>
      </c>
      <c r="O415" s="99">
        <f>IF(OR(K415="",G415="",G415=0),"",IF(E415="LONG",(K415-G415)/G415,(G415-K415)/G415))</f>
        <v/>
      </c>
      <c r="P415" s="100">
        <f>IF(OR(N415="",H415="",G415="",ABS(G415-H415)=0),"",N415/(ABS(G415-H415)*J415))</f>
        <v/>
      </c>
      <c r="Q415" s="74">
        <f>IF(N415="","",IF(N415&gt;0,"WIN",IF(N415&lt;0,"LOSS","FLAT")))</f>
        <v/>
      </c>
      <c r="AC415" s="98">
        <f>IF(N415="","",N415-IF(Z415="",0,Z415))</f>
        <v/>
      </c>
    </row>
    <row r="416" ht="15" customHeight="1" s="75">
      <c r="A416" s="74">
        <f>IF(B416="","",ROW()-1)</f>
        <v/>
      </c>
      <c r="N416" s="98">
        <f>IF(OR(K416="",G416="",J416=""),"",IF(E416="LONG",(K416-G416)*J416,(G416-K416)*J416))</f>
        <v/>
      </c>
      <c r="O416" s="99">
        <f>IF(OR(K416="",G416="",G416=0),"",IF(E416="LONG",(K416-G416)/G416,(G416-K416)/G416))</f>
        <v/>
      </c>
      <c r="P416" s="100">
        <f>IF(OR(N416="",H416="",G416="",ABS(G416-H416)=0),"",N416/(ABS(G416-H416)*J416))</f>
        <v/>
      </c>
      <c r="Q416" s="74">
        <f>IF(N416="","",IF(N416&gt;0,"WIN",IF(N416&lt;0,"LOSS","FLAT")))</f>
        <v/>
      </c>
      <c r="AC416" s="98">
        <f>IF(N416="","",N416-IF(Z416="",0,Z416))</f>
        <v/>
      </c>
    </row>
    <row r="417" ht="15" customHeight="1" s="75">
      <c r="A417" s="74">
        <f>IF(B417="","",ROW()-1)</f>
        <v/>
      </c>
      <c r="N417" s="98">
        <f>IF(OR(K417="",G417="",J417=""),"",IF(E417="LONG",(K417-G417)*J417,(G417-K417)*J417))</f>
        <v/>
      </c>
      <c r="O417" s="99">
        <f>IF(OR(K417="",G417="",G417=0),"",IF(E417="LONG",(K417-G417)/G417,(G417-K417)/G417))</f>
        <v/>
      </c>
      <c r="P417" s="100">
        <f>IF(OR(N417="",H417="",G417="",ABS(G417-H417)=0),"",N417/(ABS(G417-H417)*J417))</f>
        <v/>
      </c>
      <c r="Q417" s="74">
        <f>IF(N417="","",IF(N417&gt;0,"WIN",IF(N417&lt;0,"LOSS","FLAT")))</f>
        <v/>
      </c>
      <c r="AC417" s="98">
        <f>IF(N417="","",N417-IF(Z417="",0,Z417))</f>
        <v/>
      </c>
    </row>
    <row r="418" ht="15" customHeight="1" s="75">
      <c r="A418" s="74">
        <f>IF(B418="","",ROW()-1)</f>
        <v/>
      </c>
      <c r="N418" s="98">
        <f>IF(OR(K418="",G418="",J418=""),"",IF(E418="LONG",(K418-G418)*J418,(G418-K418)*J418))</f>
        <v/>
      </c>
      <c r="O418" s="99">
        <f>IF(OR(K418="",G418="",G418=0),"",IF(E418="LONG",(K418-G418)/G418,(G418-K418)/G418))</f>
        <v/>
      </c>
      <c r="P418" s="100">
        <f>IF(OR(N418="",H418="",G418="",ABS(G418-H418)=0),"",N418/(ABS(G418-H418)*J418))</f>
        <v/>
      </c>
      <c r="Q418" s="74">
        <f>IF(N418="","",IF(N418&gt;0,"WIN",IF(N418&lt;0,"LOSS","FLAT")))</f>
        <v/>
      </c>
      <c r="AC418" s="98">
        <f>IF(N418="","",N418-IF(Z418="",0,Z418))</f>
        <v/>
      </c>
    </row>
    <row r="419" ht="15" customHeight="1" s="75">
      <c r="A419" s="74">
        <f>IF(B419="","",ROW()-1)</f>
        <v/>
      </c>
      <c r="N419" s="98">
        <f>IF(OR(K419="",G419="",J419=""),"",IF(E419="LONG",(K419-G419)*J419,(G419-K419)*J419))</f>
        <v/>
      </c>
      <c r="O419" s="99">
        <f>IF(OR(K419="",G419="",G419=0),"",IF(E419="LONG",(K419-G419)/G419,(G419-K419)/G419))</f>
        <v/>
      </c>
      <c r="P419" s="100">
        <f>IF(OR(N419="",H419="",G419="",ABS(G419-H419)=0),"",N419/(ABS(G419-H419)*J419))</f>
        <v/>
      </c>
      <c r="Q419" s="74">
        <f>IF(N419="","",IF(N419&gt;0,"WIN",IF(N419&lt;0,"LOSS","FLAT")))</f>
        <v/>
      </c>
      <c r="AC419" s="98">
        <f>IF(N419="","",N419-IF(Z419="",0,Z419))</f>
        <v/>
      </c>
    </row>
    <row r="420" ht="15" customHeight="1" s="75">
      <c r="A420" s="74">
        <f>IF(B420="","",ROW()-1)</f>
        <v/>
      </c>
      <c r="N420" s="98">
        <f>IF(OR(K420="",G420="",J420=""),"",IF(E420="LONG",(K420-G420)*J420,(G420-K420)*J420))</f>
        <v/>
      </c>
      <c r="O420" s="99">
        <f>IF(OR(K420="",G420="",G420=0),"",IF(E420="LONG",(K420-G420)/G420,(G420-K420)/G420))</f>
        <v/>
      </c>
      <c r="P420" s="100">
        <f>IF(OR(N420="",H420="",G420="",ABS(G420-H420)=0),"",N420/(ABS(G420-H420)*J420))</f>
        <v/>
      </c>
      <c r="Q420" s="74">
        <f>IF(N420="","",IF(N420&gt;0,"WIN",IF(N420&lt;0,"LOSS","FLAT")))</f>
        <v/>
      </c>
      <c r="AC420" s="98">
        <f>IF(N420="","",N420-IF(Z420="",0,Z420))</f>
        <v/>
      </c>
    </row>
    <row r="421" ht="15" customHeight="1" s="75">
      <c r="A421" s="74">
        <f>IF(B421="","",ROW()-1)</f>
        <v/>
      </c>
      <c r="N421" s="98">
        <f>IF(OR(K421="",G421="",J421=""),"",IF(E421="LONG",(K421-G421)*J421,(G421-K421)*J421))</f>
        <v/>
      </c>
      <c r="O421" s="99">
        <f>IF(OR(K421="",G421="",G421=0),"",IF(E421="LONG",(K421-G421)/G421,(G421-K421)/G421))</f>
        <v/>
      </c>
      <c r="P421" s="100">
        <f>IF(OR(N421="",H421="",G421="",ABS(G421-H421)=0),"",N421/(ABS(G421-H421)*J421))</f>
        <v/>
      </c>
      <c r="Q421" s="74">
        <f>IF(N421="","",IF(N421&gt;0,"WIN",IF(N421&lt;0,"LOSS","FLAT")))</f>
        <v/>
      </c>
      <c r="AC421" s="98">
        <f>IF(N421="","",N421-IF(Z421="",0,Z421))</f>
        <v/>
      </c>
    </row>
    <row r="422" ht="15" customHeight="1" s="75">
      <c r="A422" s="74">
        <f>IF(B422="","",ROW()-1)</f>
        <v/>
      </c>
      <c r="N422" s="98">
        <f>IF(OR(K422="",G422="",J422=""),"",IF(E422="LONG",(K422-G422)*J422,(G422-K422)*J422))</f>
        <v/>
      </c>
      <c r="O422" s="99">
        <f>IF(OR(K422="",G422="",G422=0),"",IF(E422="LONG",(K422-G422)/G422,(G422-K422)/G422))</f>
        <v/>
      </c>
      <c r="P422" s="100">
        <f>IF(OR(N422="",H422="",G422="",ABS(G422-H422)=0),"",N422/(ABS(G422-H422)*J422))</f>
        <v/>
      </c>
      <c r="Q422" s="74">
        <f>IF(N422="","",IF(N422&gt;0,"WIN",IF(N422&lt;0,"LOSS","FLAT")))</f>
        <v/>
      </c>
      <c r="AC422" s="98">
        <f>IF(N422="","",N422-IF(Z422="",0,Z422))</f>
        <v/>
      </c>
    </row>
    <row r="423" ht="15" customHeight="1" s="75">
      <c r="A423" s="74">
        <f>IF(B423="","",ROW()-1)</f>
        <v/>
      </c>
      <c r="N423" s="98">
        <f>IF(OR(K423="",G423="",J423=""),"",IF(E423="LONG",(K423-G423)*J423,(G423-K423)*J423))</f>
        <v/>
      </c>
      <c r="O423" s="99">
        <f>IF(OR(K423="",G423="",G423=0),"",IF(E423="LONG",(K423-G423)/G423,(G423-K423)/G423))</f>
        <v/>
      </c>
      <c r="P423" s="100">
        <f>IF(OR(N423="",H423="",G423="",ABS(G423-H423)=0),"",N423/(ABS(G423-H423)*J423))</f>
        <v/>
      </c>
      <c r="Q423" s="74">
        <f>IF(N423="","",IF(N423&gt;0,"WIN",IF(N423&lt;0,"LOSS","FLAT")))</f>
        <v/>
      </c>
      <c r="AC423" s="98">
        <f>IF(N423="","",N423-IF(Z423="",0,Z423))</f>
        <v/>
      </c>
    </row>
    <row r="424" ht="15" customHeight="1" s="75">
      <c r="A424" s="74">
        <f>IF(B424="","",ROW()-1)</f>
        <v/>
      </c>
      <c r="N424" s="98">
        <f>IF(OR(K424="",G424="",J424=""),"",IF(E424="LONG",(K424-G424)*J424,(G424-K424)*J424))</f>
        <v/>
      </c>
      <c r="O424" s="99">
        <f>IF(OR(K424="",G424="",G424=0),"",IF(E424="LONG",(K424-G424)/G424,(G424-K424)/G424))</f>
        <v/>
      </c>
      <c r="P424" s="100">
        <f>IF(OR(N424="",H424="",G424="",ABS(G424-H424)=0),"",N424/(ABS(G424-H424)*J424))</f>
        <v/>
      </c>
      <c r="Q424" s="74">
        <f>IF(N424="","",IF(N424&gt;0,"WIN",IF(N424&lt;0,"LOSS","FLAT")))</f>
        <v/>
      </c>
      <c r="AC424" s="98">
        <f>IF(N424="","",N424-IF(Z424="",0,Z424))</f>
        <v/>
      </c>
    </row>
    <row r="425" ht="15" customHeight="1" s="75">
      <c r="A425" s="74">
        <f>IF(B425="","",ROW()-1)</f>
        <v/>
      </c>
      <c r="N425" s="98">
        <f>IF(OR(K425="",G425="",J425=""),"",IF(E425="LONG",(K425-G425)*J425,(G425-K425)*J425))</f>
        <v/>
      </c>
      <c r="O425" s="99">
        <f>IF(OR(K425="",G425="",G425=0),"",IF(E425="LONG",(K425-G425)/G425,(G425-K425)/G425))</f>
        <v/>
      </c>
      <c r="P425" s="100">
        <f>IF(OR(N425="",H425="",G425="",ABS(G425-H425)=0),"",N425/(ABS(G425-H425)*J425))</f>
        <v/>
      </c>
      <c r="Q425" s="74">
        <f>IF(N425="","",IF(N425&gt;0,"WIN",IF(N425&lt;0,"LOSS","FLAT")))</f>
        <v/>
      </c>
      <c r="AC425" s="98">
        <f>IF(N425="","",N425-IF(Z425="",0,Z425))</f>
        <v/>
      </c>
    </row>
    <row r="426" ht="15" customHeight="1" s="75">
      <c r="A426" s="74">
        <f>IF(B426="","",ROW()-1)</f>
        <v/>
      </c>
      <c r="N426" s="98">
        <f>IF(OR(K426="",G426="",J426=""),"",IF(E426="LONG",(K426-G426)*J426,(G426-K426)*J426))</f>
        <v/>
      </c>
      <c r="O426" s="99">
        <f>IF(OR(K426="",G426="",G426=0),"",IF(E426="LONG",(K426-G426)/G426,(G426-K426)/G426))</f>
        <v/>
      </c>
      <c r="P426" s="100">
        <f>IF(OR(N426="",H426="",G426="",ABS(G426-H426)=0),"",N426/(ABS(G426-H426)*J426))</f>
        <v/>
      </c>
      <c r="Q426" s="74">
        <f>IF(N426="","",IF(N426&gt;0,"WIN",IF(N426&lt;0,"LOSS","FLAT")))</f>
        <v/>
      </c>
      <c r="AC426" s="98">
        <f>IF(N426="","",N426-IF(Z426="",0,Z426))</f>
        <v/>
      </c>
    </row>
    <row r="427" ht="15" customHeight="1" s="75">
      <c r="A427" s="74">
        <f>IF(B427="","",ROW()-1)</f>
        <v/>
      </c>
      <c r="N427" s="98">
        <f>IF(OR(K427="",G427="",J427=""),"",IF(E427="LONG",(K427-G427)*J427,(G427-K427)*J427))</f>
        <v/>
      </c>
      <c r="O427" s="99">
        <f>IF(OR(K427="",G427="",G427=0),"",IF(E427="LONG",(K427-G427)/G427,(G427-K427)/G427))</f>
        <v/>
      </c>
      <c r="P427" s="100">
        <f>IF(OR(N427="",H427="",G427="",ABS(G427-H427)=0),"",N427/(ABS(G427-H427)*J427))</f>
        <v/>
      </c>
      <c r="Q427" s="74">
        <f>IF(N427="","",IF(N427&gt;0,"WIN",IF(N427&lt;0,"LOSS","FLAT")))</f>
        <v/>
      </c>
      <c r="AC427" s="98">
        <f>IF(N427="","",N427-IF(Z427="",0,Z427))</f>
        <v/>
      </c>
    </row>
    <row r="428" ht="15" customHeight="1" s="75">
      <c r="A428" s="74">
        <f>IF(B428="","",ROW()-1)</f>
        <v/>
      </c>
      <c r="N428" s="98">
        <f>IF(OR(K428="",G428="",J428=""),"",IF(E428="LONG",(K428-G428)*J428,(G428-K428)*J428))</f>
        <v/>
      </c>
      <c r="O428" s="99">
        <f>IF(OR(K428="",G428="",G428=0),"",IF(E428="LONG",(K428-G428)/G428,(G428-K428)/G428))</f>
        <v/>
      </c>
      <c r="P428" s="100">
        <f>IF(OR(N428="",H428="",G428="",ABS(G428-H428)=0),"",N428/(ABS(G428-H428)*J428))</f>
        <v/>
      </c>
      <c r="Q428" s="74">
        <f>IF(N428="","",IF(N428&gt;0,"WIN",IF(N428&lt;0,"LOSS","FLAT")))</f>
        <v/>
      </c>
      <c r="AC428" s="98">
        <f>IF(N428="","",N428-IF(Z428="",0,Z428))</f>
        <v/>
      </c>
    </row>
    <row r="429" ht="15" customHeight="1" s="75">
      <c r="A429" s="74">
        <f>IF(B429="","",ROW()-1)</f>
        <v/>
      </c>
      <c r="N429" s="98">
        <f>IF(OR(K429="",G429="",J429=""),"",IF(E429="LONG",(K429-G429)*J429,(G429-K429)*J429))</f>
        <v/>
      </c>
      <c r="O429" s="99">
        <f>IF(OR(K429="",G429="",G429=0),"",IF(E429="LONG",(K429-G429)/G429,(G429-K429)/G429))</f>
        <v/>
      </c>
      <c r="P429" s="100">
        <f>IF(OR(N429="",H429="",G429="",ABS(G429-H429)=0),"",N429/(ABS(G429-H429)*J429))</f>
        <v/>
      </c>
      <c r="Q429" s="74">
        <f>IF(N429="","",IF(N429&gt;0,"WIN",IF(N429&lt;0,"LOSS","FLAT")))</f>
        <v/>
      </c>
      <c r="AC429" s="98">
        <f>IF(N429="","",N429-IF(Z429="",0,Z429))</f>
        <v/>
      </c>
    </row>
    <row r="430" ht="15" customHeight="1" s="75">
      <c r="A430" s="74">
        <f>IF(B430="","",ROW()-1)</f>
        <v/>
      </c>
      <c r="N430" s="98">
        <f>IF(OR(K430="",G430="",J430=""),"",IF(E430="LONG",(K430-G430)*J430,(G430-K430)*J430))</f>
        <v/>
      </c>
      <c r="O430" s="99">
        <f>IF(OR(K430="",G430="",G430=0),"",IF(E430="LONG",(K430-G430)/G430,(G430-K430)/G430))</f>
        <v/>
      </c>
      <c r="P430" s="100">
        <f>IF(OR(N430="",H430="",G430="",ABS(G430-H430)=0),"",N430/(ABS(G430-H430)*J430))</f>
        <v/>
      </c>
      <c r="Q430" s="74">
        <f>IF(N430="","",IF(N430&gt;0,"WIN",IF(N430&lt;0,"LOSS","FLAT")))</f>
        <v/>
      </c>
      <c r="AC430" s="98">
        <f>IF(N430="","",N430-IF(Z430="",0,Z430))</f>
        <v/>
      </c>
    </row>
    <row r="431" ht="15" customHeight="1" s="75">
      <c r="A431" s="74">
        <f>IF(B431="","",ROW()-1)</f>
        <v/>
      </c>
      <c r="N431" s="98">
        <f>IF(OR(K431="",G431="",J431=""),"",IF(E431="LONG",(K431-G431)*J431,(G431-K431)*J431))</f>
        <v/>
      </c>
      <c r="O431" s="99">
        <f>IF(OR(K431="",G431="",G431=0),"",IF(E431="LONG",(K431-G431)/G431,(G431-K431)/G431))</f>
        <v/>
      </c>
      <c r="P431" s="100">
        <f>IF(OR(N431="",H431="",G431="",ABS(G431-H431)=0),"",N431/(ABS(G431-H431)*J431))</f>
        <v/>
      </c>
      <c r="Q431" s="74">
        <f>IF(N431="","",IF(N431&gt;0,"WIN",IF(N431&lt;0,"LOSS","FLAT")))</f>
        <v/>
      </c>
      <c r="AC431" s="98">
        <f>IF(N431="","",N431-IF(Z431="",0,Z431))</f>
        <v/>
      </c>
    </row>
    <row r="432" ht="15" customHeight="1" s="75">
      <c r="A432" s="74">
        <f>IF(B432="","",ROW()-1)</f>
        <v/>
      </c>
      <c r="N432" s="98">
        <f>IF(OR(K432="",G432="",J432=""),"",IF(E432="LONG",(K432-G432)*J432,(G432-K432)*J432))</f>
        <v/>
      </c>
      <c r="O432" s="99">
        <f>IF(OR(K432="",G432="",G432=0),"",IF(E432="LONG",(K432-G432)/G432,(G432-K432)/G432))</f>
        <v/>
      </c>
      <c r="P432" s="100">
        <f>IF(OR(N432="",H432="",G432="",ABS(G432-H432)=0),"",N432/(ABS(G432-H432)*J432))</f>
        <v/>
      </c>
      <c r="Q432" s="74">
        <f>IF(N432="","",IF(N432&gt;0,"WIN",IF(N432&lt;0,"LOSS","FLAT")))</f>
        <v/>
      </c>
      <c r="AC432" s="98">
        <f>IF(N432="","",N432-IF(Z432="",0,Z432))</f>
        <v/>
      </c>
    </row>
    <row r="433" ht="15" customHeight="1" s="75">
      <c r="A433" s="74">
        <f>IF(B433="","",ROW()-1)</f>
        <v/>
      </c>
      <c r="N433" s="98">
        <f>IF(OR(K433="",G433="",J433=""),"",IF(E433="LONG",(K433-G433)*J433,(G433-K433)*J433))</f>
        <v/>
      </c>
      <c r="O433" s="99">
        <f>IF(OR(K433="",G433="",G433=0),"",IF(E433="LONG",(K433-G433)/G433,(G433-K433)/G433))</f>
        <v/>
      </c>
      <c r="P433" s="100">
        <f>IF(OR(N433="",H433="",G433="",ABS(G433-H433)=0),"",N433/(ABS(G433-H433)*J433))</f>
        <v/>
      </c>
      <c r="Q433" s="74">
        <f>IF(N433="","",IF(N433&gt;0,"WIN",IF(N433&lt;0,"LOSS","FLAT")))</f>
        <v/>
      </c>
      <c r="AC433" s="98">
        <f>IF(N433="","",N433-IF(Z433="",0,Z433))</f>
        <v/>
      </c>
    </row>
    <row r="434" ht="15" customHeight="1" s="75">
      <c r="A434" s="74">
        <f>IF(B434="","",ROW()-1)</f>
        <v/>
      </c>
      <c r="N434" s="98">
        <f>IF(OR(K434="",G434="",J434=""),"",IF(E434="LONG",(K434-G434)*J434,(G434-K434)*J434))</f>
        <v/>
      </c>
      <c r="O434" s="99">
        <f>IF(OR(K434="",G434="",G434=0),"",IF(E434="LONG",(K434-G434)/G434,(G434-K434)/G434))</f>
        <v/>
      </c>
      <c r="P434" s="100">
        <f>IF(OR(N434="",H434="",G434="",ABS(G434-H434)=0),"",N434/(ABS(G434-H434)*J434))</f>
        <v/>
      </c>
      <c r="Q434" s="74">
        <f>IF(N434="","",IF(N434&gt;0,"WIN",IF(N434&lt;0,"LOSS","FLAT")))</f>
        <v/>
      </c>
      <c r="AC434" s="98">
        <f>IF(N434="","",N434-IF(Z434="",0,Z434))</f>
        <v/>
      </c>
    </row>
    <row r="435" ht="15" customHeight="1" s="75">
      <c r="A435" s="74">
        <f>IF(B435="","",ROW()-1)</f>
        <v/>
      </c>
      <c r="N435" s="98">
        <f>IF(OR(K435="",G435="",J435=""),"",IF(E435="LONG",(K435-G435)*J435,(G435-K435)*J435))</f>
        <v/>
      </c>
      <c r="O435" s="99">
        <f>IF(OR(K435="",G435="",G435=0),"",IF(E435="LONG",(K435-G435)/G435,(G435-K435)/G435))</f>
        <v/>
      </c>
      <c r="P435" s="100">
        <f>IF(OR(N435="",H435="",G435="",ABS(G435-H435)=0),"",N435/(ABS(G435-H435)*J435))</f>
        <v/>
      </c>
      <c r="Q435" s="74">
        <f>IF(N435="","",IF(N435&gt;0,"WIN",IF(N435&lt;0,"LOSS","FLAT")))</f>
        <v/>
      </c>
      <c r="AC435" s="98">
        <f>IF(N435="","",N435-IF(Z435="",0,Z435))</f>
        <v/>
      </c>
    </row>
    <row r="436" ht="15" customHeight="1" s="75">
      <c r="A436" s="74">
        <f>IF(B436="","",ROW()-1)</f>
        <v/>
      </c>
      <c r="N436" s="98">
        <f>IF(OR(K436="",G436="",J436=""),"",IF(E436="LONG",(K436-G436)*J436,(G436-K436)*J436))</f>
        <v/>
      </c>
      <c r="O436" s="99">
        <f>IF(OR(K436="",G436="",G436=0),"",IF(E436="LONG",(K436-G436)/G436,(G436-K436)/G436))</f>
        <v/>
      </c>
      <c r="P436" s="100">
        <f>IF(OR(N436="",H436="",G436="",ABS(G436-H436)=0),"",N436/(ABS(G436-H436)*J436))</f>
        <v/>
      </c>
      <c r="Q436" s="74">
        <f>IF(N436="","",IF(N436&gt;0,"WIN",IF(N436&lt;0,"LOSS","FLAT")))</f>
        <v/>
      </c>
      <c r="AC436" s="98">
        <f>IF(N436="","",N436-IF(Z436="",0,Z436))</f>
        <v/>
      </c>
    </row>
    <row r="437" ht="15" customHeight="1" s="75">
      <c r="A437" s="74">
        <f>IF(B437="","",ROW()-1)</f>
        <v/>
      </c>
      <c r="N437" s="98">
        <f>IF(OR(K437="",G437="",J437=""),"",IF(E437="LONG",(K437-G437)*J437,(G437-K437)*J437))</f>
        <v/>
      </c>
      <c r="O437" s="99">
        <f>IF(OR(K437="",G437="",G437=0),"",IF(E437="LONG",(K437-G437)/G437,(G437-K437)/G437))</f>
        <v/>
      </c>
      <c r="P437" s="100">
        <f>IF(OR(N437="",H437="",G437="",ABS(G437-H437)=0),"",N437/(ABS(G437-H437)*J437))</f>
        <v/>
      </c>
      <c r="Q437" s="74">
        <f>IF(N437="","",IF(N437&gt;0,"WIN",IF(N437&lt;0,"LOSS","FLAT")))</f>
        <v/>
      </c>
      <c r="AC437" s="98">
        <f>IF(N437="","",N437-IF(Z437="",0,Z437))</f>
        <v/>
      </c>
    </row>
    <row r="438" ht="15" customHeight="1" s="75">
      <c r="A438" s="74">
        <f>IF(B438="","",ROW()-1)</f>
        <v/>
      </c>
      <c r="N438" s="98">
        <f>IF(OR(K438="",G438="",J438=""),"",IF(E438="LONG",(K438-G438)*J438,(G438-K438)*J438))</f>
        <v/>
      </c>
      <c r="O438" s="99">
        <f>IF(OR(K438="",G438="",G438=0),"",IF(E438="LONG",(K438-G438)/G438,(G438-K438)/G438))</f>
        <v/>
      </c>
      <c r="P438" s="100">
        <f>IF(OR(N438="",H438="",G438="",ABS(G438-H438)=0),"",N438/(ABS(G438-H438)*J438))</f>
        <v/>
      </c>
      <c r="Q438" s="74">
        <f>IF(N438="","",IF(N438&gt;0,"WIN",IF(N438&lt;0,"LOSS","FLAT")))</f>
        <v/>
      </c>
      <c r="AC438" s="98">
        <f>IF(N438="","",N438-IF(Z438="",0,Z438))</f>
        <v/>
      </c>
    </row>
    <row r="439" ht="15" customHeight="1" s="75">
      <c r="A439" s="74">
        <f>IF(B439="","",ROW()-1)</f>
        <v/>
      </c>
      <c r="N439" s="98">
        <f>IF(OR(K439="",G439="",J439=""),"",IF(E439="LONG",(K439-G439)*J439,(G439-K439)*J439))</f>
        <v/>
      </c>
      <c r="O439" s="99">
        <f>IF(OR(K439="",G439="",G439=0),"",IF(E439="LONG",(K439-G439)/G439,(G439-K439)/G439))</f>
        <v/>
      </c>
      <c r="P439" s="100">
        <f>IF(OR(N439="",H439="",G439="",ABS(G439-H439)=0),"",N439/(ABS(G439-H439)*J439))</f>
        <v/>
      </c>
      <c r="Q439" s="74">
        <f>IF(N439="","",IF(N439&gt;0,"WIN",IF(N439&lt;0,"LOSS","FLAT")))</f>
        <v/>
      </c>
      <c r="AC439" s="98">
        <f>IF(N439="","",N439-IF(Z439="",0,Z439))</f>
        <v/>
      </c>
    </row>
    <row r="440" ht="15" customHeight="1" s="75">
      <c r="A440" s="74">
        <f>IF(B440="","",ROW()-1)</f>
        <v/>
      </c>
      <c r="N440" s="98">
        <f>IF(OR(K440="",G440="",J440=""),"",IF(E440="LONG",(K440-G440)*J440,(G440-K440)*J440))</f>
        <v/>
      </c>
      <c r="O440" s="99">
        <f>IF(OR(K440="",G440="",G440=0),"",IF(E440="LONG",(K440-G440)/G440,(G440-K440)/G440))</f>
        <v/>
      </c>
      <c r="P440" s="100">
        <f>IF(OR(N440="",H440="",G440="",ABS(G440-H440)=0),"",N440/(ABS(G440-H440)*J440))</f>
        <v/>
      </c>
      <c r="Q440" s="74">
        <f>IF(N440="","",IF(N440&gt;0,"WIN",IF(N440&lt;0,"LOSS","FLAT")))</f>
        <v/>
      </c>
      <c r="AC440" s="98">
        <f>IF(N440="","",N440-IF(Z440="",0,Z440))</f>
        <v/>
      </c>
    </row>
    <row r="441" ht="15" customHeight="1" s="75">
      <c r="A441" s="74">
        <f>IF(B441="","",ROW()-1)</f>
        <v/>
      </c>
      <c r="N441" s="98">
        <f>IF(OR(K441="",G441="",J441=""),"",IF(E441="LONG",(K441-G441)*J441,(G441-K441)*J441))</f>
        <v/>
      </c>
      <c r="O441" s="99">
        <f>IF(OR(K441="",G441="",G441=0),"",IF(E441="LONG",(K441-G441)/G441,(G441-K441)/G441))</f>
        <v/>
      </c>
      <c r="P441" s="100">
        <f>IF(OR(N441="",H441="",G441="",ABS(G441-H441)=0),"",N441/(ABS(G441-H441)*J441))</f>
        <v/>
      </c>
      <c r="Q441" s="74">
        <f>IF(N441="","",IF(N441&gt;0,"WIN",IF(N441&lt;0,"LOSS","FLAT")))</f>
        <v/>
      </c>
      <c r="AC441" s="98">
        <f>IF(N441="","",N441-IF(Z441="",0,Z441))</f>
        <v/>
      </c>
    </row>
    <row r="442" ht="15" customHeight="1" s="75">
      <c r="A442" s="74">
        <f>IF(B442="","",ROW()-1)</f>
        <v/>
      </c>
      <c r="N442" s="98">
        <f>IF(OR(K442="",G442="",J442=""),"",IF(E442="LONG",(K442-G442)*J442,(G442-K442)*J442))</f>
        <v/>
      </c>
      <c r="O442" s="99">
        <f>IF(OR(K442="",G442="",G442=0),"",IF(E442="LONG",(K442-G442)/G442,(G442-K442)/G442))</f>
        <v/>
      </c>
      <c r="P442" s="100">
        <f>IF(OR(N442="",H442="",G442="",ABS(G442-H442)=0),"",N442/(ABS(G442-H442)*J442))</f>
        <v/>
      </c>
      <c r="Q442" s="74">
        <f>IF(N442="","",IF(N442&gt;0,"WIN",IF(N442&lt;0,"LOSS","FLAT")))</f>
        <v/>
      </c>
      <c r="AC442" s="98">
        <f>IF(N442="","",N442-IF(Z442="",0,Z442))</f>
        <v/>
      </c>
    </row>
    <row r="443" ht="15" customHeight="1" s="75">
      <c r="A443" s="74">
        <f>IF(B443="","",ROW()-1)</f>
        <v/>
      </c>
      <c r="N443" s="98">
        <f>IF(OR(K443="",G443="",J443=""),"",IF(E443="LONG",(K443-G443)*J443,(G443-K443)*J443))</f>
        <v/>
      </c>
      <c r="O443" s="99">
        <f>IF(OR(K443="",G443="",G443=0),"",IF(E443="LONG",(K443-G443)/G443,(G443-K443)/G443))</f>
        <v/>
      </c>
      <c r="P443" s="100">
        <f>IF(OR(N443="",H443="",G443="",ABS(G443-H443)=0),"",N443/(ABS(G443-H443)*J443))</f>
        <v/>
      </c>
      <c r="Q443" s="74">
        <f>IF(N443="","",IF(N443&gt;0,"WIN",IF(N443&lt;0,"LOSS","FLAT")))</f>
        <v/>
      </c>
      <c r="AC443" s="98">
        <f>IF(N443="","",N443-IF(Z443="",0,Z443))</f>
        <v/>
      </c>
    </row>
    <row r="444" ht="15" customHeight="1" s="75">
      <c r="A444" s="74">
        <f>IF(B444="","",ROW()-1)</f>
        <v/>
      </c>
      <c r="N444" s="98">
        <f>IF(OR(K444="",G444="",J444=""),"",IF(E444="LONG",(K444-G444)*J444,(G444-K444)*J444))</f>
        <v/>
      </c>
      <c r="O444" s="99">
        <f>IF(OR(K444="",G444="",G444=0),"",IF(E444="LONG",(K444-G444)/G444,(G444-K444)/G444))</f>
        <v/>
      </c>
      <c r="P444" s="100">
        <f>IF(OR(N444="",H444="",G444="",ABS(G444-H444)=0),"",N444/(ABS(G444-H444)*J444))</f>
        <v/>
      </c>
      <c r="Q444" s="74">
        <f>IF(N444="","",IF(N444&gt;0,"WIN",IF(N444&lt;0,"LOSS","FLAT")))</f>
        <v/>
      </c>
      <c r="AC444" s="98">
        <f>IF(N444="","",N444-IF(Z444="",0,Z444))</f>
        <v/>
      </c>
    </row>
    <row r="445" ht="15" customHeight="1" s="75">
      <c r="A445" s="74">
        <f>IF(B445="","",ROW()-1)</f>
        <v/>
      </c>
      <c r="N445" s="98">
        <f>IF(OR(K445="",G445="",J445=""),"",IF(E445="LONG",(K445-G445)*J445,(G445-K445)*J445))</f>
        <v/>
      </c>
      <c r="O445" s="99">
        <f>IF(OR(K445="",G445="",G445=0),"",IF(E445="LONG",(K445-G445)/G445,(G445-K445)/G445))</f>
        <v/>
      </c>
      <c r="P445" s="100">
        <f>IF(OR(N445="",H445="",G445="",ABS(G445-H445)=0),"",N445/(ABS(G445-H445)*J445))</f>
        <v/>
      </c>
      <c r="Q445" s="74">
        <f>IF(N445="","",IF(N445&gt;0,"WIN",IF(N445&lt;0,"LOSS","FLAT")))</f>
        <v/>
      </c>
      <c r="AC445" s="98">
        <f>IF(N445="","",N445-IF(Z445="",0,Z445))</f>
        <v/>
      </c>
    </row>
    <row r="446" ht="15" customHeight="1" s="75">
      <c r="A446" s="74">
        <f>IF(B446="","",ROW()-1)</f>
        <v/>
      </c>
      <c r="N446" s="98">
        <f>IF(OR(K446="",G446="",J446=""),"",IF(E446="LONG",(K446-G446)*J446,(G446-K446)*J446))</f>
        <v/>
      </c>
      <c r="O446" s="99">
        <f>IF(OR(K446="",G446="",G446=0),"",IF(E446="LONG",(K446-G446)/G446,(G446-K446)/G446))</f>
        <v/>
      </c>
      <c r="P446" s="100">
        <f>IF(OR(N446="",H446="",G446="",ABS(G446-H446)=0),"",N446/(ABS(G446-H446)*J446))</f>
        <v/>
      </c>
      <c r="Q446" s="74">
        <f>IF(N446="","",IF(N446&gt;0,"WIN",IF(N446&lt;0,"LOSS","FLAT")))</f>
        <v/>
      </c>
      <c r="AC446" s="98">
        <f>IF(N446="","",N446-IF(Z446="",0,Z446))</f>
        <v/>
      </c>
    </row>
    <row r="447" ht="15" customHeight="1" s="75">
      <c r="A447" s="74">
        <f>IF(B447="","",ROW()-1)</f>
        <v/>
      </c>
      <c r="N447" s="98">
        <f>IF(OR(K447="",G447="",J447=""),"",IF(E447="LONG",(K447-G447)*J447,(G447-K447)*J447))</f>
        <v/>
      </c>
      <c r="O447" s="99">
        <f>IF(OR(K447="",G447="",G447=0),"",IF(E447="LONG",(K447-G447)/G447,(G447-K447)/G447))</f>
        <v/>
      </c>
      <c r="P447" s="100">
        <f>IF(OR(N447="",H447="",G447="",ABS(G447-H447)=0),"",N447/(ABS(G447-H447)*J447))</f>
        <v/>
      </c>
      <c r="Q447" s="74">
        <f>IF(N447="","",IF(N447&gt;0,"WIN",IF(N447&lt;0,"LOSS","FLAT")))</f>
        <v/>
      </c>
      <c r="AC447" s="98">
        <f>IF(N447="","",N447-IF(Z447="",0,Z447))</f>
        <v/>
      </c>
    </row>
    <row r="448" ht="15" customHeight="1" s="75">
      <c r="A448" s="74">
        <f>IF(B448="","",ROW()-1)</f>
        <v/>
      </c>
      <c r="N448" s="98">
        <f>IF(OR(K448="",G448="",J448=""),"",IF(E448="LONG",(K448-G448)*J448,(G448-K448)*J448))</f>
        <v/>
      </c>
      <c r="O448" s="99">
        <f>IF(OR(K448="",G448="",G448=0),"",IF(E448="LONG",(K448-G448)/G448,(G448-K448)/G448))</f>
        <v/>
      </c>
      <c r="P448" s="100">
        <f>IF(OR(N448="",H448="",G448="",ABS(G448-H448)=0),"",N448/(ABS(G448-H448)*J448))</f>
        <v/>
      </c>
      <c r="Q448" s="74">
        <f>IF(N448="","",IF(N448&gt;0,"WIN",IF(N448&lt;0,"LOSS","FLAT")))</f>
        <v/>
      </c>
      <c r="AC448" s="98">
        <f>IF(N448="","",N448-IF(Z448="",0,Z448))</f>
        <v/>
      </c>
    </row>
    <row r="449" ht="15" customHeight="1" s="75">
      <c r="A449" s="74">
        <f>IF(B449="","",ROW()-1)</f>
        <v/>
      </c>
      <c r="N449" s="98">
        <f>IF(OR(K449="",G449="",J449=""),"",IF(E449="LONG",(K449-G449)*J449,(G449-K449)*J449))</f>
        <v/>
      </c>
      <c r="O449" s="99">
        <f>IF(OR(K449="",G449="",G449=0),"",IF(E449="LONG",(K449-G449)/G449,(G449-K449)/G449))</f>
        <v/>
      </c>
      <c r="P449" s="100">
        <f>IF(OR(N449="",H449="",G449="",ABS(G449-H449)=0),"",N449/(ABS(G449-H449)*J449))</f>
        <v/>
      </c>
      <c r="Q449" s="74">
        <f>IF(N449="","",IF(N449&gt;0,"WIN",IF(N449&lt;0,"LOSS","FLAT")))</f>
        <v/>
      </c>
      <c r="AC449" s="98">
        <f>IF(N449="","",N449-IF(Z449="",0,Z449))</f>
        <v/>
      </c>
    </row>
    <row r="450" ht="15" customHeight="1" s="75">
      <c r="A450" s="74">
        <f>IF(B450="","",ROW()-1)</f>
        <v/>
      </c>
      <c r="N450" s="98">
        <f>IF(OR(K450="",G450="",J450=""),"",IF(E450="LONG",(K450-G450)*J450,(G450-K450)*J450))</f>
        <v/>
      </c>
      <c r="O450" s="99">
        <f>IF(OR(K450="",G450="",G450=0),"",IF(E450="LONG",(K450-G450)/G450,(G450-K450)/G450))</f>
        <v/>
      </c>
      <c r="P450" s="100">
        <f>IF(OR(N450="",H450="",G450="",ABS(G450-H450)=0),"",N450/(ABS(G450-H450)*J450))</f>
        <v/>
      </c>
      <c r="Q450" s="74">
        <f>IF(N450="","",IF(N450&gt;0,"WIN",IF(N450&lt;0,"LOSS","FLAT")))</f>
        <v/>
      </c>
      <c r="AC450" s="98">
        <f>IF(N450="","",N450-IF(Z450="",0,Z450))</f>
        <v/>
      </c>
    </row>
    <row r="451" ht="15" customHeight="1" s="75">
      <c r="A451" s="74">
        <f>IF(B451="","",ROW()-1)</f>
        <v/>
      </c>
      <c r="N451" s="98">
        <f>IF(OR(K451="",G451="",J451=""),"",IF(E451="LONG",(K451-G451)*J451,(G451-K451)*J451))</f>
        <v/>
      </c>
      <c r="O451" s="99">
        <f>IF(OR(K451="",G451="",G451=0),"",IF(E451="LONG",(K451-G451)/G451,(G451-K451)/G451))</f>
        <v/>
      </c>
      <c r="P451" s="100">
        <f>IF(OR(N451="",H451="",G451="",ABS(G451-H451)=0),"",N451/(ABS(G451-H451)*J451))</f>
        <v/>
      </c>
      <c r="Q451" s="74">
        <f>IF(N451="","",IF(N451&gt;0,"WIN",IF(N451&lt;0,"LOSS","FLAT")))</f>
        <v/>
      </c>
      <c r="AC451" s="98">
        <f>IF(N451="","",N451-IF(Z451="",0,Z451))</f>
        <v/>
      </c>
    </row>
    <row r="452" ht="15" customHeight="1" s="75">
      <c r="A452" s="74">
        <f>IF(B452="","",ROW()-1)</f>
        <v/>
      </c>
      <c r="N452" s="98">
        <f>IF(OR(K452="",G452="",J452=""),"",IF(E452="LONG",(K452-G452)*J452,(G452-K452)*J452))</f>
        <v/>
      </c>
      <c r="O452" s="99">
        <f>IF(OR(K452="",G452="",G452=0),"",IF(E452="LONG",(K452-G452)/G452,(G452-K452)/G452))</f>
        <v/>
      </c>
      <c r="P452" s="100">
        <f>IF(OR(N452="",H452="",G452="",ABS(G452-H452)=0),"",N452/(ABS(G452-H452)*J452))</f>
        <v/>
      </c>
      <c r="Q452" s="74">
        <f>IF(N452="","",IF(N452&gt;0,"WIN",IF(N452&lt;0,"LOSS","FLAT")))</f>
        <v/>
      </c>
      <c r="AC452" s="98">
        <f>IF(N452="","",N452-IF(Z452="",0,Z452))</f>
        <v/>
      </c>
    </row>
    <row r="453" ht="15" customHeight="1" s="75">
      <c r="A453" s="74">
        <f>IF(B453="","",ROW()-1)</f>
        <v/>
      </c>
      <c r="N453" s="98">
        <f>IF(OR(K453="",G453="",J453=""),"",IF(E453="LONG",(K453-G453)*J453,(G453-K453)*J453))</f>
        <v/>
      </c>
      <c r="O453" s="99">
        <f>IF(OR(K453="",G453="",G453=0),"",IF(E453="LONG",(K453-G453)/G453,(G453-K453)/G453))</f>
        <v/>
      </c>
      <c r="P453" s="100">
        <f>IF(OR(N453="",H453="",G453="",ABS(G453-H453)=0),"",N453/(ABS(G453-H453)*J453))</f>
        <v/>
      </c>
      <c r="Q453" s="74">
        <f>IF(N453="","",IF(N453&gt;0,"WIN",IF(N453&lt;0,"LOSS","FLAT")))</f>
        <v/>
      </c>
      <c r="AC453" s="98">
        <f>IF(N453="","",N453-IF(Z453="",0,Z453))</f>
        <v/>
      </c>
    </row>
    <row r="454" ht="15" customHeight="1" s="75">
      <c r="A454" s="74">
        <f>IF(B454="","",ROW()-1)</f>
        <v/>
      </c>
      <c r="N454" s="98">
        <f>IF(OR(K454="",G454="",J454=""),"",IF(E454="LONG",(K454-G454)*J454,(G454-K454)*J454))</f>
        <v/>
      </c>
      <c r="O454" s="99">
        <f>IF(OR(K454="",G454="",G454=0),"",IF(E454="LONG",(K454-G454)/G454,(G454-K454)/G454))</f>
        <v/>
      </c>
      <c r="P454" s="100">
        <f>IF(OR(N454="",H454="",G454="",ABS(G454-H454)=0),"",N454/(ABS(G454-H454)*J454))</f>
        <v/>
      </c>
      <c r="Q454" s="74">
        <f>IF(N454="","",IF(N454&gt;0,"WIN",IF(N454&lt;0,"LOSS","FLAT")))</f>
        <v/>
      </c>
      <c r="AC454" s="98">
        <f>IF(N454="","",N454-IF(Z454="",0,Z454))</f>
        <v/>
      </c>
    </row>
    <row r="455" ht="15" customHeight="1" s="75">
      <c r="A455" s="74">
        <f>IF(B455="","",ROW()-1)</f>
        <v/>
      </c>
      <c r="N455" s="98">
        <f>IF(OR(K455="",G455="",J455=""),"",IF(E455="LONG",(K455-G455)*J455,(G455-K455)*J455))</f>
        <v/>
      </c>
      <c r="O455" s="99">
        <f>IF(OR(K455="",G455="",G455=0),"",IF(E455="LONG",(K455-G455)/G455,(G455-K455)/G455))</f>
        <v/>
      </c>
      <c r="P455" s="100">
        <f>IF(OR(N455="",H455="",G455="",ABS(G455-H455)=0),"",N455/(ABS(G455-H455)*J455))</f>
        <v/>
      </c>
      <c r="Q455" s="74">
        <f>IF(N455="","",IF(N455&gt;0,"WIN",IF(N455&lt;0,"LOSS","FLAT")))</f>
        <v/>
      </c>
      <c r="AC455" s="98">
        <f>IF(N455="","",N455-IF(Z455="",0,Z455))</f>
        <v/>
      </c>
    </row>
    <row r="456" ht="15" customHeight="1" s="75">
      <c r="A456" s="74">
        <f>IF(B456="","",ROW()-1)</f>
        <v/>
      </c>
      <c r="N456" s="98">
        <f>IF(OR(K456="",G456="",J456=""),"",IF(E456="LONG",(K456-G456)*J456,(G456-K456)*J456))</f>
        <v/>
      </c>
      <c r="O456" s="99">
        <f>IF(OR(K456="",G456="",G456=0),"",IF(E456="LONG",(K456-G456)/G456,(G456-K456)/G456))</f>
        <v/>
      </c>
      <c r="P456" s="100">
        <f>IF(OR(N456="",H456="",G456="",ABS(G456-H456)=0),"",N456/(ABS(G456-H456)*J456))</f>
        <v/>
      </c>
      <c r="Q456" s="74">
        <f>IF(N456="","",IF(N456&gt;0,"WIN",IF(N456&lt;0,"LOSS","FLAT")))</f>
        <v/>
      </c>
      <c r="AC456" s="98">
        <f>IF(N456="","",N456-IF(Z456="",0,Z456))</f>
        <v/>
      </c>
    </row>
    <row r="457" ht="15" customHeight="1" s="75">
      <c r="A457" s="74">
        <f>IF(B457="","",ROW()-1)</f>
        <v/>
      </c>
      <c r="N457" s="98">
        <f>IF(OR(K457="",G457="",J457=""),"",IF(E457="LONG",(K457-G457)*J457,(G457-K457)*J457))</f>
        <v/>
      </c>
      <c r="O457" s="99">
        <f>IF(OR(K457="",G457="",G457=0),"",IF(E457="LONG",(K457-G457)/G457,(G457-K457)/G457))</f>
        <v/>
      </c>
      <c r="P457" s="100">
        <f>IF(OR(N457="",H457="",G457="",ABS(G457-H457)=0),"",N457/(ABS(G457-H457)*J457))</f>
        <v/>
      </c>
      <c r="Q457" s="74">
        <f>IF(N457="","",IF(N457&gt;0,"WIN",IF(N457&lt;0,"LOSS","FLAT")))</f>
        <v/>
      </c>
      <c r="AC457" s="98">
        <f>IF(N457="","",N457-IF(Z457="",0,Z457))</f>
        <v/>
      </c>
    </row>
    <row r="458" ht="15" customHeight="1" s="75">
      <c r="A458" s="74">
        <f>IF(B458="","",ROW()-1)</f>
        <v/>
      </c>
      <c r="N458" s="98">
        <f>IF(OR(K458="",G458="",J458=""),"",IF(E458="LONG",(K458-G458)*J458,(G458-K458)*J458))</f>
        <v/>
      </c>
      <c r="O458" s="99">
        <f>IF(OR(K458="",G458="",G458=0),"",IF(E458="LONG",(K458-G458)/G458,(G458-K458)/G458))</f>
        <v/>
      </c>
      <c r="P458" s="100">
        <f>IF(OR(N458="",H458="",G458="",ABS(G458-H458)=0),"",N458/(ABS(G458-H458)*J458))</f>
        <v/>
      </c>
      <c r="Q458" s="74">
        <f>IF(N458="","",IF(N458&gt;0,"WIN",IF(N458&lt;0,"LOSS","FLAT")))</f>
        <v/>
      </c>
      <c r="AC458" s="98">
        <f>IF(N458="","",N458-IF(Z458="",0,Z458))</f>
        <v/>
      </c>
    </row>
    <row r="459" ht="15" customHeight="1" s="75">
      <c r="A459" s="74">
        <f>IF(B459="","",ROW()-1)</f>
        <v/>
      </c>
      <c r="N459" s="98">
        <f>IF(OR(K459="",G459="",J459=""),"",IF(E459="LONG",(K459-G459)*J459,(G459-K459)*J459))</f>
        <v/>
      </c>
      <c r="O459" s="99">
        <f>IF(OR(K459="",G459="",G459=0),"",IF(E459="LONG",(K459-G459)/G459,(G459-K459)/G459))</f>
        <v/>
      </c>
      <c r="P459" s="100">
        <f>IF(OR(N459="",H459="",G459="",ABS(G459-H459)=0),"",N459/(ABS(G459-H459)*J459))</f>
        <v/>
      </c>
      <c r="Q459" s="74">
        <f>IF(N459="","",IF(N459&gt;0,"WIN",IF(N459&lt;0,"LOSS","FLAT")))</f>
        <v/>
      </c>
      <c r="AC459" s="98">
        <f>IF(N459="","",N459-IF(Z459="",0,Z459))</f>
        <v/>
      </c>
    </row>
    <row r="460" ht="15" customHeight="1" s="75">
      <c r="A460" s="74">
        <f>IF(B460="","",ROW()-1)</f>
        <v/>
      </c>
      <c r="N460" s="98">
        <f>IF(OR(K460="",G460="",J460=""),"",IF(E460="LONG",(K460-G460)*J460,(G460-K460)*J460))</f>
        <v/>
      </c>
      <c r="O460" s="99">
        <f>IF(OR(K460="",G460="",G460=0),"",IF(E460="LONG",(K460-G460)/G460,(G460-K460)/G460))</f>
        <v/>
      </c>
      <c r="P460" s="100">
        <f>IF(OR(N460="",H460="",G460="",ABS(G460-H460)=0),"",N460/(ABS(G460-H460)*J460))</f>
        <v/>
      </c>
      <c r="Q460" s="74">
        <f>IF(N460="","",IF(N460&gt;0,"WIN",IF(N460&lt;0,"LOSS","FLAT")))</f>
        <v/>
      </c>
      <c r="AC460" s="98">
        <f>IF(N460="","",N460-IF(Z460="",0,Z460))</f>
        <v/>
      </c>
    </row>
    <row r="461" ht="15" customHeight="1" s="75">
      <c r="A461" s="74">
        <f>IF(B461="","",ROW()-1)</f>
        <v/>
      </c>
      <c r="N461" s="98">
        <f>IF(OR(K461="",G461="",J461=""),"",IF(E461="LONG",(K461-G461)*J461,(G461-K461)*J461))</f>
        <v/>
      </c>
      <c r="O461" s="99">
        <f>IF(OR(K461="",G461="",G461=0),"",IF(E461="LONG",(K461-G461)/G461,(G461-K461)/G461))</f>
        <v/>
      </c>
      <c r="P461" s="100">
        <f>IF(OR(N461="",H461="",G461="",ABS(G461-H461)=0),"",N461/(ABS(G461-H461)*J461))</f>
        <v/>
      </c>
      <c r="Q461" s="74">
        <f>IF(N461="","",IF(N461&gt;0,"WIN",IF(N461&lt;0,"LOSS","FLAT")))</f>
        <v/>
      </c>
      <c r="AC461" s="98">
        <f>IF(N461="","",N461-IF(Z461="",0,Z461))</f>
        <v/>
      </c>
    </row>
    <row r="462" ht="15" customHeight="1" s="75">
      <c r="A462" s="74">
        <f>IF(B462="","",ROW()-1)</f>
        <v/>
      </c>
      <c r="N462" s="98">
        <f>IF(OR(K462="",G462="",J462=""),"",IF(E462="LONG",(K462-G462)*J462,(G462-K462)*J462))</f>
        <v/>
      </c>
      <c r="O462" s="99">
        <f>IF(OR(K462="",G462="",G462=0),"",IF(E462="LONG",(K462-G462)/G462,(G462-K462)/G462))</f>
        <v/>
      </c>
      <c r="P462" s="100">
        <f>IF(OR(N462="",H462="",G462="",ABS(G462-H462)=0),"",N462/(ABS(G462-H462)*J462))</f>
        <v/>
      </c>
      <c r="Q462" s="74">
        <f>IF(N462="","",IF(N462&gt;0,"WIN",IF(N462&lt;0,"LOSS","FLAT")))</f>
        <v/>
      </c>
      <c r="AC462" s="98">
        <f>IF(N462="","",N462-IF(Z462="",0,Z462))</f>
        <v/>
      </c>
    </row>
    <row r="463" ht="15" customHeight="1" s="75">
      <c r="A463" s="74">
        <f>IF(B463="","",ROW()-1)</f>
        <v/>
      </c>
      <c r="N463" s="98">
        <f>IF(OR(K463="",G463="",J463=""),"",IF(E463="LONG",(K463-G463)*J463,(G463-K463)*J463))</f>
        <v/>
      </c>
      <c r="O463" s="99">
        <f>IF(OR(K463="",G463="",G463=0),"",IF(E463="LONG",(K463-G463)/G463,(G463-K463)/G463))</f>
        <v/>
      </c>
      <c r="P463" s="100">
        <f>IF(OR(N463="",H463="",G463="",ABS(G463-H463)=0),"",N463/(ABS(G463-H463)*J463))</f>
        <v/>
      </c>
      <c r="Q463" s="74">
        <f>IF(N463="","",IF(N463&gt;0,"WIN",IF(N463&lt;0,"LOSS","FLAT")))</f>
        <v/>
      </c>
      <c r="AC463" s="98">
        <f>IF(N463="","",N463-IF(Z463="",0,Z463))</f>
        <v/>
      </c>
    </row>
    <row r="464" ht="15" customHeight="1" s="75">
      <c r="A464" s="74">
        <f>IF(B464="","",ROW()-1)</f>
        <v/>
      </c>
      <c r="N464" s="98">
        <f>IF(OR(K464="",G464="",J464=""),"",IF(E464="LONG",(K464-G464)*J464,(G464-K464)*J464))</f>
        <v/>
      </c>
      <c r="O464" s="99">
        <f>IF(OR(K464="",G464="",G464=0),"",IF(E464="LONG",(K464-G464)/G464,(G464-K464)/G464))</f>
        <v/>
      </c>
      <c r="P464" s="100">
        <f>IF(OR(N464="",H464="",G464="",ABS(G464-H464)=0),"",N464/(ABS(G464-H464)*J464))</f>
        <v/>
      </c>
      <c r="Q464" s="74">
        <f>IF(N464="","",IF(N464&gt;0,"WIN",IF(N464&lt;0,"LOSS","FLAT")))</f>
        <v/>
      </c>
      <c r="AC464" s="98">
        <f>IF(N464="","",N464-IF(Z464="",0,Z464))</f>
        <v/>
      </c>
    </row>
    <row r="465" ht="15" customHeight="1" s="75">
      <c r="A465" s="74">
        <f>IF(B465="","",ROW()-1)</f>
        <v/>
      </c>
      <c r="N465" s="98">
        <f>IF(OR(K465="",G465="",J465=""),"",IF(E465="LONG",(K465-G465)*J465,(G465-K465)*J465))</f>
        <v/>
      </c>
      <c r="O465" s="99">
        <f>IF(OR(K465="",G465="",G465=0),"",IF(E465="LONG",(K465-G465)/G465,(G465-K465)/G465))</f>
        <v/>
      </c>
      <c r="P465" s="100">
        <f>IF(OR(N465="",H465="",G465="",ABS(G465-H465)=0),"",N465/(ABS(G465-H465)*J465))</f>
        <v/>
      </c>
      <c r="Q465" s="74">
        <f>IF(N465="","",IF(N465&gt;0,"WIN",IF(N465&lt;0,"LOSS","FLAT")))</f>
        <v/>
      </c>
      <c r="AC465" s="98">
        <f>IF(N465="","",N465-IF(Z465="",0,Z465))</f>
        <v/>
      </c>
    </row>
    <row r="466" ht="15" customHeight="1" s="75">
      <c r="A466" s="74">
        <f>IF(B466="","",ROW()-1)</f>
        <v/>
      </c>
      <c r="N466" s="98">
        <f>IF(OR(K466="",G466="",J466=""),"",IF(E466="LONG",(K466-G466)*J466,(G466-K466)*J466))</f>
        <v/>
      </c>
      <c r="O466" s="99">
        <f>IF(OR(K466="",G466="",G466=0),"",IF(E466="LONG",(K466-G466)/G466,(G466-K466)/G466))</f>
        <v/>
      </c>
      <c r="P466" s="100">
        <f>IF(OR(N466="",H466="",G466="",ABS(G466-H466)=0),"",N466/(ABS(G466-H466)*J466))</f>
        <v/>
      </c>
      <c r="Q466" s="74">
        <f>IF(N466="","",IF(N466&gt;0,"WIN",IF(N466&lt;0,"LOSS","FLAT")))</f>
        <v/>
      </c>
      <c r="AC466" s="98">
        <f>IF(N466="","",N466-IF(Z466="",0,Z466))</f>
        <v/>
      </c>
    </row>
    <row r="467" ht="15" customHeight="1" s="75">
      <c r="A467" s="74">
        <f>IF(B467="","",ROW()-1)</f>
        <v/>
      </c>
      <c r="N467" s="98">
        <f>IF(OR(K467="",G467="",J467=""),"",IF(E467="LONG",(K467-G467)*J467,(G467-K467)*J467))</f>
        <v/>
      </c>
      <c r="O467" s="99">
        <f>IF(OR(K467="",G467="",G467=0),"",IF(E467="LONG",(K467-G467)/G467,(G467-K467)/G467))</f>
        <v/>
      </c>
      <c r="P467" s="100">
        <f>IF(OR(N467="",H467="",G467="",ABS(G467-H467)=0),"",N467/(ABS(G467-H467)*J467))</f>
        <v/>
      </c>
      <c r="Q467" s="74">
        <f>IF(N467="","",IF(N467&gt;0,"WIN",IF(N467&lt;0,"LOSS","FLAT")))</f>
        <v/>
      </c>
      <c r="AC467" s="98">
        <f>IF(N467="","",N467-IF(Z467="",0,Z467))</f>
        <v/>
      </c>
    </row>
    <row r="468" ht="15" customHeight="1" s="75">
      <c r="A468" s="74">
        <f>IF(B468="","",ROW()-1)</f>
        <v/>
      </c>
      <c r="N468" s="98">
        <f>IF(OR(K468="",G468="",J468=""),"",IF(E468="LONG",(K468-G468)*J468,(G468-K468)*J468))</f>
        <v/>
      </c>
      <c r="O468" s="99">
        <f>IF(OR(K468="",G468="",G468=0),"",IF(E468="LONG",(K468-G468)/G468,(G468-K468)/G468))</f>
        <v/>
      </c>
      <c r="P468" s="100">
        <f>IF(OR(N468="",H468="",G468="",ABS(G468-H468)=0),"",N468/(ABS(G468-H468)*J468))</f>
        <v/>
      </c>
      <c r="Q468" s="74">
        <f>IF(N468="","",IF(N468&gt;0,"WIN",IF(N468&lt;0,"LOSS","FLAT")))</f>
        <v/>
      </c>
      <c r="AC468" s="98">
        <f>IF(N468="","",N468-IF(Z468="",0,Z468))</f>
        <v/>
      </c>
    </row>
    <row r="469" ht="15" customHeight="1" s="75">
      <c r="A469" s="74">
        <f>IF(B469="","",ROW()-1)</f>
        <v/>
      </c>
      <c r="N469" s="98">
        <f>IF(OR(K469="",G469="",J469=""),"",IF(E469="LONG",(K469-G469)*J469,(G469-K469)*J469))</f>
        <v/>
      </c>
      <c r="O469" s="99">
        <f>IF(OR(K469="",G469="",G469=0),"",IF(E469="LONG",(K469-G469)/G469,(G469-K469)/G469))</f>
        <v/>
      </c>
      <c r="P469" s="100">
        <f>IF(OR(N469="",H469="",G469="",ABS(G469-H469)=0),"",N469/(ABS(G469-H469)*J469))</f>
        <v/>
      </c>
      <c r="Q469" s="74">
        <f>IF(N469="","",IF(N469&gt;0,"WIN",IF(N469&lt;0,"LOSS","FLAT")))</f>
        <v/>
      </c>
      <c r="AC469" s="98">
        <f>IF(N469="","",N469-IF(Z469="",0,Z469))</f>
        <v/>
      </c>
    </row>
    <row r="470" ht="15" customHeight="1" s="75">
      <c r="A470" s="74">
        <f>IF(B470="","",ROW()-1)</f>
        <v/>
      </c>
      <c r="N470" s="98">
        <f>IF(OR(K470="",G470="",J470=""),"",IF(E470="LONG",(K470-G470)*J470,(G470-K470)*J470))</f>
        <v/>
      </c>
      <c r="O470" s="99">
        <f>IF(OR(K470="",G470="",G470=0),"",IF(E470="LONG",(K470-G470)/G470,(G470-K470)/G470))</f>
        <v/>
      </c>
      <c r="P470" s="100">
        <f>IF(OR(N470="",H470="",G470="",ABS(G470-H470)=0),"",N470/(ABS(G470-H470)*J470))</f>
        <v/>
      </c>
      <c r="Q470" s="74">
        <f>IF(N470="","",IF(N470&gt;0,"WIN",IF(N470&lt;0,"LOSS","FLAT")))</f>
        <v/>
      </c>
      <c r="AC470" s="98">
        <f>IF(N470="","",N470-IF(Z470="",0,Z470))</f>
        <v/>
      </c>
    </row>
    <row r="471" ht="15" customHeight="1" s="75">
      <c r="A471" s="74">
        <f>IF(B471="","",ROW()-1)</f>
        <v/>
      </c>
      <c r="N471" s="98">
        <f>IF(OR(K471="",G471="",J471=""),"",IF(E471="LONG",(K471-G471)*J471,(G471-K471)*J471))</f>
        <v/>
      </c>
      <c r="O471" s="99">
        <f>IF(OR(K471="",G471="",G471=0),"",IF(E471="LONG",(K471-G471)/G471,(G471-K471)/G471))</f>
        <v/>
      </c>
      <c r="P471" s="100">
        <f>IF(OR(N471="",H471="",G471="",ABS(G471-H471)=0),"",N471/(ABS(G471-H471)*J471))</f>
        <v/>
      </c>
      <c r="Q471" s="74">
        <f>IF(N471="","",IF(N471&gt;0,"WIN",IF(N471&lt;0,"LOSS","FLAT")))</f>
        <v/>
      </c>
      <c r="AC471" s="98">
        <f>IF(N471="","",N471-IF(Z471="",0,Z471))</f>
        <v/>
      </c>
    </row>
    <row r="472" ht="15" customHeight="1" s="75">
      <c r="A472" s="74">
        <f>IF(B472="","",ROW()-1)</f>
        <v/>
      </c>
      <c r="N472" s="98">
        <f>IF(OR(K472="",G472="",J472=""),"",IF(E472="LONG",(K472-G472)*J472,(G472-K472)*J472))</f>
        <v/>
      </c>
      <c r="O472" s="99">
        <f>IF(OR(K472="",G472="",G472=0),"",IF(E472="LONG",(K472-G472)/G472,(G472-K472)/G472))</f>
        <v/>
      </c>
      <c r="P472" s="100">
        <f>IF(OR(N472="",H472="",G472="",ABS(G472-H472)=0),"",N472/(ABS(G472-H472)*J472))</f>
        <v/>
      </c>
      <c r="Q472" s="74">
        <f>IF(N472="","",IF(N472&gt;0,"WIN",IF(N472&lt;0,"LOSS","FLAT")))</f>
        <v/>
      </c>
      <c r="AC472" s="98">
        <f>IF(N472="","",N472-IF(Z472="",0,Z472))</f>
        <v/>
      </c>
    </row>
    <row r="473" ht="15" customHeight="1" s="75">
      <c r="A473" s="74">
        <f>IF(B473="","",ROW()-1)</f>
        <v/>
      </c>
      <c r="N473" s="98">
        <f>IF(OR(K473="",G473="",J473=""),"",IF(E473="LONG",(K473-G473)*J473,(G473-K473)*J473))</f>
        <v/>
      </c>
      <c r="O473" s="99">
        <f>IF(OR(K473="",G473="",G473=0),"",IF(E473="LONG",(K473-G473)/G473,(G473-K473)/G473))</f>
        <v/>
      </c>
      <c r="P473" s="100">
        <f>IF(OR(N473="",H473="",G473="",ABS(G473-H473)=0),"",N473/(ABS(G473-H473)*J473))</f>
        <v/>
      </c>
      <c r="Q473" s="74">
        <f>IF(N473="","",IF(N473&gt;0,"WIN",IF(N473&lt;0,"LOSS","FLAT")))</f>
        <v/>
      </c>
      <c r="AC473" s="98">
        <f>IF(N473="","",N473-IF(Z473="",0,Z473))</f>
        <v/>
      </c>
    </row>
    <row r="474" ht="15" customHeight="1" s="75">
      <c r="A474" s="74">
        <f>IF(B474="","",ROW()-1)</f>
        <v/>
      </c>
      <c r="N474" s="98">
        <f>IF(OR(K474="",G474="",J474=""),"",IF(E474="LONG",(K474-G474)*J474,(G474-K474)*J474))</f>
        <v/>
      </c>
      <c r="O474" s="99">
        <f>IF(OR(K474="",G474="",G474=0),"",IF(E474="LONG",(K474-G474)/G474,(G474-K474)/G474))</f>
        <v/>
      </c>
      <c r="P474" s="100">
        <f>IF(OR(N474="",H474="",G474="",ABS(G474-H474)=0),"",N474/(ABS(G474-H474)*J474))</f>
        <v/>
      </c>
      <c r="Q474" s="74">
        <f>IF(N474="","",IF(N474&gt;0,"WIN",IF(N474&lt;0,"LOSS","FLAT")))</f>
        <v/>
      </c>
      <c r="AC474" s="98">
        <f>IF(N474="","",N474-IF(Z474="",0,Z474))</f>
        <v/>
      </c>
    </row>
    <row r="475" ht="15" customHeight="1" s="75">
      <c r="A475" s="74">
        <f>IF(B475="","",ROW()-1)</f>
        <v/>
      </c>
      <c r="N475" s="98">
        <f>IF(OR(K475="",G475="",J475=""),"",IF(E475="LONG",(K475-G475)*J475,(G475-K475)*J475))</f>
        <v/>
      </c>
      <c r="O475" s="99">
        <f>IF(OR(K475="",G475="",G475=0),"",IF(E475="LONG",(K475-G475)/G475,(G475-K475)/G475))</f>
        <v/>
      </c>
      <c r="P475" s="100">
        <f>IF(OR(N475="",H475="",G475="",ABS(G475-H475)=0),"",N475/(ABS(G475-H475)*J475))</f>
        <v/>
      </c>
      <c r="Q475" s="74">
        <f>IF(N475="","",IF(N475&gt;0,"WIN",IF(N475&lt;0,"LOSS","FLAT")))</f>
        <v/>
      </c>
      <c r="AC475" s="98">
        <f>IF(N475="","",N475-IF(Z475="",0,Z475))</f>
        <v/>
      </c>
    </row>
    <row r="476" ht="15" customHeight="1" s="75">
      <c r="A476" s="74">
        <f>IF(B476="","",ROW()-1)</f>
        <v/>
      </c>
      <c r="N476" s="98">
        <f>IF(OR(K476="",G476="",J476=""),"",IF(E476="LONG",(K476-G476)*J476,(G476-K476)*J476))</f>
        <v/>
      </c>
      <c r="O476" s="99">
        <f>IF(OR(K476="",G476="",G476=0),"",IF(E476="LONG",(K476-G476)/G476,(G476-K476)/G476))</f>
        <v/>
      </c>
      <c r="P476" s="100">
        <f>IF(OR(N476="",H476="",G476="",ABS(G476-H476)=0),"",N476/(ABS(G476-H476)*J476))</f>
        <v/>
      </c>
      <c r="Q476" s="74">
        <f>IF(N476="","",IF(N476&gt;0,"WIN",IF(N476&lt;0,"LOSS","FLAT")))</f>
        <v/>
      </c>
      <c r="AC476" s="98">
        <f>IF(N476="","",N476-IF(Z476="",0,Z476))</f>
        <v/>
      </c>
    </row>
    <row r="477" ht="15" customHeight="1" s="75">
      <c r="A477" s="74">
        <f>IF(B477="","",ROW()-1)</f>
        <v/>
      </c>
      <c r="N477" s="98">
        <f>IF(OR(K477="",G477="",J477=""),"",IF(E477="LONG",(K477-G477)*J477,(G477-K477)*J477))</f>
        <v/>
      </c>
      <c r="O477" s="99">
        <f>IF(OR(K477="",G477="",G477=0),"",IF(E477="LONG",(K477-G477)/G477,(G477-K477)/G477))</f>
        <v/>
      </c>
      <c r="P477" s="100">
        <f>IF(OR(N477="",H477="",G477="",ABS(G477-H477)=0),"",N477/(ABS(G477-H477)*J477))</f>
        <v/>
      </c>
      <c r="Q477" s="74">
        <f>IF(N477="","",IF(N477&gt;0,"WIN",IF(N477&lt;0,"LOSS","FLAT")))</f>
        <v/>
      </c>
      <c r="AC477" s="98">
        <f>IF(N477="","",N477-IF(Z477="",0,Z477))</f>
        <v/>
      </c>
    </row>
    <row r="478" ht="15" customHeight="1" s="75">
      <c r="A478" s="74">
        <f>IF(B478="","",ROW()-1)</f>
        <v/>
      </c>
      <c r="N478" s="98">
        <f>IF(OR(K478="",G478="",J478=""),"",IF(E478="LONG",(K478-G478)*J478,(G478-K478)*J478))</f>
        <v/>
      </c>
      <c r="O478" s="99">
        <f>IF(OR(K478="",G478="",G478=0),"",IF(E478="LONG",(K478-G478)/G478,(G478-K478)/G478))</f>
        <v/>
      </c>
      <c r="P478" s="100">
        <f>IF(OR(N478="",H478="",G478="",ABS(G478-H478)=0),"",N478/(ABS(G478-H478)*J478))</f>
        <v/>
      </c>
      <c r="Q478" s="74">
        <f>IF(N478="","",IF(N478&gt;0,"WIN",IF(N478&lt;0,"LOSS","FLAT")))</f>
        <v/>
      </c>
      <c r="AC478" s="98">
        <f>IF(N478="","",N478-IF(Z478="",0,Z478))</f>
        <v/>
      </c>
    </row>
    <row r="479" ht="15" customHeight="1" s="75">
      <c r="A479" s="74">
        <f>IF(B479="","",ROW()-1)</f>
        <v/>
      </c>
      <c r="N479" s="98">
        <f>IF(OR(K479="",G479="",J479=""),"",IF(E479="LONG",(K479-G479)*J479,(G479-K479)*J479))</f>
        <v/>
      </c>
      <c r="O479" s="99">
        <f>IF(OR(K479="",G479="",G479=0),"",IF(E479="LONG",(K479-G479)/G479,(G479-K479)/G479))</f>
        <v/>
      </c>
      <c r="P479" s="100">
        <f>IF(OR(N479="",H479="",G479="",ABS(G479-H479)=0),"",N479/(ABS(G479-H479)*J479))</f>
        <v/>
      </c>
      <c r="Q479" s="74">
        <f>IF(N479="","",IF(N479&gt;0,"WIN",IF(N479&lt;0,"LOSS","FLAT")))</f>
        <v/>
      </c>
      <c r="AC479" s="98">
        <f>IF(N479="","",N479-IF(Z479="",0,Z479))</f>
        <v/>
      </c>
    </row>
    <row r="480" ht="15" customHeight="1" s="75">
      <c r="A480" s="74">
        <f>IF(B480="","",ROW()-1)</f>
        <v/>
      </c>
      <c r="N480" s="98">
        <f>IF(OR(K480="",G480="",J480=""),"",IF(E480="LONG",(K480-G480)*J480,(G480-K480)*J480))</f>
        <v/>
      </c>
      <c r="O480" s="99">
        <f>IF(OR(K480="",G480="",G480=0),"",IF(E480="LONG",(K480-G480)/G480,(G480-K480)/G480))</f>
        <v/>
      </c>
      <c r="P480" s="100">
        <f>IF(OR(N480="",H480="",G480="",ABS(G480-H480)=0),"",N480/(ABS(G480-H480)*J480))</f>
        <v/>
      </c>
      <c r="Q480" s="74">
        <f>IF(N480="","",IF(N480&gt;0,"WIN",IF(N480&lt;0,"LOSS","FLAT")))</f>
        <v/>
      </c>
      <c r="AC480" s="98">
        <f>IF(N480="","",N480-IF(Z480="",0,Z480))</f>
        <v/>
      </c>
    </row>
    <row r="481" ht="15" customHeight="1" s="75">
      <c r="A481" s="74">
        <f>IF(B481="","",ROW()-1)</f>
        <v/>
      </c>
      <c r="N481" s="98">
        <f>IF(OR(K481="",G481="",J481=""),"",IF(E481="LONG",(K481-G481)*J481,(G481-K481)*J481))</f>
        <v/>
      </c>
      <c r="O481" s="99">
        <f>IF(OR(K481="",G481="",G481=0),"",IF(E481="LONG",(K481-G481)/G481,(G481-K481)/G481))</f>
        <v/>
      </c>
      <c r="P481" s="100">
        <f>IF(OR(N481="",H481="",G481="",ABS(G481-H481)=0),"",N481/(ABS(G481-H481)*J481))</f>
        <v/>
      </c>
      <c r="Q481" s="74">
        <f>IF(N481="","",IF(N481&gt;0,"WIN",IF(N481&lt;0,"LOSS","FLAT")))</f>
        <v/>
      </c>
      <c r="AC481" s="98">
        <f>IF(N481="","",N481-IF(Z481="",0,Z481))</f>
        <v/>
      </c>
    </row>
    <row r="482" ht="15" customHeight="1" s="75">
      <c r="A482" s="74">
        <f>IF(B482="","",ROW()-1)</f>
        <v/>
      </c>
      <c r="N482" s="98">
        <f>IF(OR(K482="",G482="",J482=""),"",IF(E482="LONG",(K482-G482)*J482,(G482-K482)*J482))</f>
        <v/>
      </c>
      <c r="O482" s="99">
        <f>IF(OR(K482="",G482="",G482=0),"",IF(E482="LONG",(K482-G482)/G482,(G482-K482)/G482))</f>
        <v/>
      </c>
      <c r="P482" s="100">
        <f>IF(OR(N482="",H482="",G482="",ABS(G482-H482)=0),"",N482/(ABS(G482-H482)*J482))</f>
        <v/>
      </c>
      <c r="Q482" s="74">
        <f>IF(N482="","",IF(N482&gt;0,"WIN",IF(N482&lt;0,"LOSS","FLAT")))</f>
        <v/>
      </c>
      <c r="AC482" s="98">
        <f>IF(N482="","",N482-IF(Z482="",0,Z482))</f>
        <v/>
      </c>
    </row>
    <row r="483" ht="15" customHeight="1" s="75">
      <c r="A483" s="74">
        <f>IF(B483="","",ROW()-1)</f>
        <v/>
      </c>
      <c r="N483" s="98">
        <f>IF(OR(K483="",G483="",J483=""),"",IF(E483="LONG",(K483-G483)*J483,(G483-K483)*J483))</f>
        <v/>
      </c>
      <c r="O483" s="99">
        <f>IF(OR(K483="",G483="",G483=0),"",IF(E483="LONG",(K483-G483)/G483,(G483-K483)/G483))</f>
        <v/>
      </c>
      <c r="P483" s="100">
        <f>IF(OR(N483="",H483="",G483="",ABS(G483-H483)=0),"",N483/(ABS(G483-H483)*J483))</f>
        <v/>
      </c>
      <c r="Q483" s="74">
        <f>IF(N483="","",IF(N483&gt;0,"WIN",IF(N483&lt;0,"LOSS","FLAT")))</f>
        <v/>
      </c>
      <c r="AC483" s="98">
        <f>IF(N483="","",N483-IF(Z483="",0,Z483))</f>
        <v/>
      </c>
    </row>
    <row r="484" ht="15" customHeight="1" s="75">
      <c r="A484" s="74">
        <f>IF(B484="","",ROW()-1)</f>
        <v/>
      </c>
      <c r="N484" s="98">
        <f>IF(OR(K484="",G484="",J484=""),"",IF(E484="LONG",(K484-G484)*J484,(G484-K484)*J484))</f>
        <v/>
      </c>
      <c r="O484" s="99">
        <f>IF(OR(K484="",G484="",G484=0),"",IF(E484="LONG",(K484-G484)/G484,(G484-K484)/G484))</f>
        <v/>
      </c>
      <c r="P484" s="100">
        <f>IF(OR(N484="",H484="",G484="",ABS(G484-H484)=0),"",N484/(ABS(G484-H484)*J484))</f>
        <v/>
      </c>
      <c r="Q484" s="74">
        <f>IF(N484="","",IF(N484&gt;0,"WIN",IF(N484&lt;0,"LOSS","FLAT")))</f>
        <v/>
      </c>
      <c r="AC484" s="98">
        <f>IF(N484="","",N484-IF(Z484="",0,Z484))</f>
        <v/>
      </c>
    </row>
    <row r="485" ht="15" customHeight="1" s="75">
      <c r="A485" s="74">
        <f>IF(B485="","",ROW()-1)</f>
        <v/>
      </c>
      <c r="N485" s="98">
        <f>IF(OR(K485="",G485="",J485=""),"",IF(E485="LONG",(K485-G485)*J485,(G485-K485)*J485))</f>
        <v/>
      </c>
      <c r="O485" s="99">
        <f>IF(OR(K485="",G485="",G485=0),"",IF(E485="LONG",(K485-G485)/G485,(G485-K485)/G485))</f>
        <v/>
      </c>
      <c r="P485" s="100">
        <f>IF(OR(N485="",H485="",G485="",ABS(G485-H485)=0),"",N485/(ABS(G485-H485)*J485))</f>
        <v/>
      </c>
      <c r="Q485" s="74">
        <f>IF(N485="","",IF(N485&gt;0,"WIN",IF(N485&lt;0,"LOSS","FLAT")))</f>
        <v/>
      </c>
      <c r="AC485" s="98">
        <f>IF(N485="","",N485-IF(Z485="",0,Z485))</f>
        <v/>
      </c>
    </row>
    <row r="486" ht="15" customHeight="1" s="75">
      <c r="A486" s="74">
        <f>IF(B486="","",ROW()-1)</f>
        <v/>
      </c>
      <c r="N486" s="98">
        <f>IF(OR(K486="",G486="",J486=""),"",IF(E486="LONG",(K486-G486)*J486,(G486-K486)*J486))</f>
        <v/>
      </c>
      <c r="O486" s="99">
        <f>IF(OR(K486="",G486="",G486=0),"",IF(E486="LONG",(K486-G486)/G486,(G486-K486)/G486))</f>
        <v/>
      </c>
      <c r="P486" s="100">
        <f>IF(OR(N486="",H486="",G486="",ABS(G486-H486)=0),"",N486/(ABS(G486-H486)*J486))</f>
        <v/>
      </c>
      <c r="Q486" s="74">
        <f>IF(N486="","",IF(N486&gt;0,"WIN",IF(N486&lt;0,"LOSS","FLAT")))</f>
        <v/>
      </c>
      <c r="AC486" s="98">
        <f>IF(N486="","",N486-IF(Z486="",0,Z486))</f>
        <v/>
      </c>
    </row>
    <row r="487" ht="15" customHeight="1" s="75">
      <c r="A487" s="74">
        <f>IF(B487="","",ROW()-1)</f>
        <v/>
      </c>
      <c r="N487" s="98">
        <f>IF(OR(K487="",G487="",J487=""),"",IF(E487="LONG",(K487-G487)*J487,(G487-K487)*J487))</f>
        <v/>
      </c>
      <c r="O487" s="99">
        <f>IF(OR(K487="",G487="",G487=0),"",IF(E487="LONG",(K487-G487)/G487,(G487-K487)/G487))</f>
        <v/>
      </c>
      <c r="P487" s="100">
        <f>IF(OR(N487="",H487="",G487="",ABS(G487-H487)=0),"",N487/(ABS(G487-H487)*J487))</f>
        <v/>
      </c>
      <c r="Q487" s="74">
        <f>IF(N487="","",IF(N487&gt;0,"WIN",IF(N487&lt;0,"LOSS","FLAT")))</f>
        <v/>
      </c>
      <c r="AC487" s="98">
        <f>IF(N487="","",N487-IF(Z487="",0,Z487))</f>
        <v/>
      </c>
    </row>
    <row r="488" ht="15" customHeight="1" s="75">
      <c r="A488" s="74">
        <f>IF(B488="","",ROW()-1)</f>
        <v/>
      </c>
      <c r="N488" s="98">
        <f>IF(OR(K488="",G488="",J488=""),"",IF(E488="LONG",(K488-G488)*J488,(G488-K488)*J488))</f>
        <v/>
      </c>
      <c r="O488" s="99">
        <f>IF(OR(K488="",G488="",G488=0),"",IF(E488="LONG",(K488-G488)/G488,(G488-K488)/G488))</f>
        <v/>
      </c>
      <c r="P488" s="100">
        <f>IF(OR(N488="",H488="",G488="",ABS(G488-H488)=0),"",N488/(ABS(G488-H488)*J488))</f>
        <v/>
      </c>
      <c r="Q488" s="74">
        <f>IF(N488="","",IF(N488&gt;0,"WIN",IF(N488&lt;0,"LOSS","FLAT")))</f>
        <v/>
      </c>
      <c r="AC488" s="98">
        <f>IF(N488="","",N488-IF(Z488="",0,Z488))</f>
        <v/>
      </c>
    </row>
    <row r="489" ht="15" customHeight="1" s="75">
      <c r="A489" s="74">
        <f>IF(B489="","",ROW()-1)</f>
        <v/>
      </c>
      <c r="N489" s="98">
        <f>IF(OR(K489="",G489="",J489=""),"",IF(E489="LONG",(K489-G489)*J489,(G489-K489)*J489))</f>
        <v/>
      </c>
      <c r="O489" s="99">
        <f>IF(OR(K489="",G489="",G489=0),"",IF(E489="LONG",(K489-G489)/G489,(G489-K489)/G489))</f>
        <v/>
      </c>
      <c r="P489" s="100">
        <f>IF(OR(N489="",H489="",G489="",ABS(G489-H489)=0),"",N489/(ABS(G489-H489)*J489))</f>
        <v/>
      </c>
      <c r="Q489" s="74">
        <f>IF(N489="","",IF(N489&gt;0,"WIN",IF(N489&lt;0,"LOSS","FLAT")))</f>
        <v/>
      </c>
      <c r="AC489" s="98">
        <f>IF(N489="","",N489-IF(Z489="",0,Z489))</f>
        <v/>
      </c>
    </row>
    <row r="490" ht="15" customHeight="1" s="75">
      <c r="A490" s="74">
        <f>IF(B490="","",ROW()-1)</f>
        <v/>
      </c>
      <c r="N490" s="98">
        <f>IF(OR(K490="",G490="",J490=""),"",IF(E490="LONG",(K490-G490)*J490,(G490-K490)*J490))</f>
        <v/>
      </c>
      <c r="O490" s="99">
        <f>IF(OR(K490="",G490="",G490=0),"",IF(E490="LONG",(K490-G490)/G490,(G490-K490)/G490))</f>
        <v/>
      </c>
      <c r="P490" s="100">
        <f>IF(OR(N490="",H490="",G490="",ABS(G490-H490)=0),"",N490/(ABS(G490-H490)*J490))</f>
        <v/>
      </c>
      <c r="Q490" s="74">
        <f>IF(N490="","",IF(N490&gt;0,"WIN",IF(N490&lt;0,"LOSS","FLAT")))</f>
        <v/>
      </c>
      <c r="AC490" s="98">
        <f>IF(N490="","",N490-IF(Z490="",0,Z490))</f>
        <v/>
      </c>
    </row>
    <row r="491" ht="15" customHeight="1" s="75">
      <c r="A491" s="74">
        <f>IF(B491="","",ROW()-1)</f>
        <v/>
      </c>
      <c r="N491" s="98">
        <f>IF(OR(K491="",G491="",J491=""),"",IF(E491="LONG",(K491-G491)*J491,(G491-K491)*J491))</f>
        <v/>
      </c>
      <c r="O491" s="99">
        <f>IF(OR(K491="",G491="",G491=0),"",IF(E491="LONG",(K491-G491)/G491,(G491-K491)/G491))</f>
        <v/>
      </c>
      <c r="P491" s="100">
        <f>IF(OR(N491="",H491="",G491="",ABS(G491-H491)=0),"",N491/(ABS(G491-H491)*J491))</f>
        <v/>
      </c>
      <c r="Q491" s="74">
        <f>IF(N491="","",IF(N491&gt;0,"WIN",IF(N491&lt;0,"LOSS","FLAT")))</f>
        <v/>
      </c>
      <c r="AC491" s="98">
        <f>IF(N491="","",N491-IF(Z491="",0,Z491))</f>
        <v/>
      </c>
    </row>
    <row r="492" ht="15" customHeight="1" s="75">
      <c r="A492" s="74">
        <f>IF(B492="","",ROW()-1)</f>
        <v/>
      </c>
      <c r="N492" s="98">
        <f>IF(OR(K492="",G492="",J492=""),"",IF(E492="LONG",(K492-G492)*J492,(G492-K492)*J492))</f>
        <v/>
      </c>
      <c r="O492" s="99">
        <f>IF(OR(K492="",G492="",G492=0),"",IF(E492="LONG",(K492-G492)/G492,(G492-K492)/G492))</f>
        <v/>
      </c>
      <c r="P492" s="100">
        <f>IF(OR(N492="",H492="",G492="",ABS(G492-H492)=0),"",N492/(ABS(G492-H492)*J492))</f>
        <v/>
      </c>
      <c r="Q492" s="74">
        <f>IF(N492="","",IF(N492&gt;0,"WIN",IF(N492&lt;0,"LOSS","FLAT")))</f>
        <v/>
      </c>
      <c r="AC492" s="98">
        <f>IF(N492="","",N492-IF(Z492="",0,Z492))</f>
        <v/>
      </c>
    </row>
    <row r="493" ht="15" customHeight="1" s="75">
      <c r="A493" s="74">
        <f>IF(B493="","",ROW()-1)</f>
        <v/>
      </c>
      <c r="N493" s="98">
        <f>IF(OR(K493="",G493="",J493=""),"",IF(E493="LONG",(K493-G493)*J493,(G493-K493)*J493))</f>
        <v/>
      </c>
      <c r="O493" s="99">
        <f>IF(OR(K493="",G493="",G493=0),"",IF(E493="LONG",(K493-G493)/G493,(G493-K493)/G493))</f>
        <v/>
      </c>
      <c r="P493" s="100">
        <f>IF(OR(N493="",H493="",G493="",ABS(G493-H493)=0),"",N493/(ABS(G493-H493)*J493))</f>
        <v/>
      </c>
      <c r="Q493" s="74">
        <f>IF(N493="","",IF(N493&gt;0,"WIN",IF(N493&lt;0,"LOSS","FLAT")))</f>
        <v/>
      </c>
      <c r="AC493" s="98">
        <f>IF(N493="","",N493-IF(Z493="",0,Z493))</f>
        <v/>
      </c>
    </row>
    <row r="494" ht="15" customHeight="1" s="75">
      <c r="A494" s="74">
        <f>IF(B494="","",ROW()-1)</f>
        <v/>
      </c>
      <c r="N494" s="98">
        <f>IF(OR(K494="",G494="",J494=""),"",IF(E494="LONG",(K494-G494)*J494,(G494-K494)*J494))</f>
        <v/>
      </c>
      <c r="O494" s="99">
        <f>IF(OR(K494="",G494="",G494=0),"",IF(E494="LONG",(K494-G494)/G494,(G494-K494)/G494))</f>
        <v/>
      </c>
      <c r="P494" s="100">
        <f>IF(OR(N494="",H494="",G494="",ABS(G494-H494)=0),"",N494/(ABS(G494-H494)*J494))</f>
        <v/>
      </c>
      <c r="Q494" s="74">
        <f>IF(N494="","",IF(N494&gt;0,"WIN",IF(N494&lt;0,"LOSS","FLAT")))</f>
        <v/>
      </c>
      <c r="AC494" s="98">
        <f>IF(N494="","",N494-IF(Z494="",0,Z494))</f>
        <v/>
      </c>
    </row>
    <row r="495" ht="15" customHeight="1" s="75">
      <c r="A495" s="74">
        <f>IF(B495="","",ROW()-1)</f>
        <v/>
      </c>
      <c r="N495" s="98">
        <f>IF(OR(K495="",G495="",J495=""),"",IF(E495="LONG",(K495-G495)*J495,(G495-K495)*J495))</f>
        <v/>
      </c>
      <c r="O495" s="99">
        <f>IF(OR(K495="",G495="",G495=0),"",IF(E495="LONG",(K495-G495)/G495,(G495-K495)/G495))</f>
        <v/>
      </c>
      <c r="P495" s="100">
        <f>IF(OR(N495="",H495="",G495="",ABS(G495-H495)=0),"",N495/(ABS(G495-H495)*J495))</f>
        <v/>
      </c>
      <c r="Q495" s="74">
        <f>IF(N495="","",IF(N495&gt;0,"WIN",IF(N495&lt;0,"LOSS","FLAT")))</f>
        <v/>
      </c>
      <c r="AC495" s="98">
        <f>IF(N495="","",N495-IF(Z495="",0,Z495))</f>
        <v/>
      </c>
    </row>
    <row r="496" ht="15" customHeight="1" s="75">
      <c r="A496" s="74">
        <f>IF(B496="","",ROW()-1)</f>
        <v/>
      </c>
      <c r="N496" s="98">
        <f>IF(OR(K496="",G496="",J496=""),"",IF(E496="LONG",(K496-G496)*J496,(G496-K496)*J496))</f>
        <v/>
      </c>
      <c r="O496" s="99">
        <f>IF(OR(K496="",G496="",G496=0),"",IF(E496="LONG",(K496-G496)/G496,(G496-K496)/G496))</f>
        <v/>
      </c>
      <c r="P496" s="100">
        <f>IF(OR(N496="",H496="",G496="",ABS(G496-H496)=0),"",N496/(ABS(G496-H496)*J496))</f>
        <v/>
      </c>
      <c r="Q496" s="74">
        <f>IF(N496="","",IF(N496&gt;0,"WIN",IF(N496&lt;0,"LOSS","FLAT")))</f>
        <v/>
      </c>
      <c r="AC496" s="98">
        <f>IF(N496="","",N496-IF(Z496="",0,Z496))</f>
        <v/>
      </c>
    </row>
    <row r="497" ht="15" customHeight="1" s="75">
      <c r="A497" s="74">
        <f>IF(B497="","",ROW()-1)</f>
        <v/>
      </c>
      <c r="N497" s="98">
        <f>IF(OR(K497="",G497="",J497=""),"",IF(E497="LONG",(K497-G497)*J497,(G497-K497)*J497))</f>
        <v/>
      </c>
      <c r="O497" s="99">
        <f>IF(OR(K497="",G497="",G497=0),"",IF(E497="LONG",(K497-G497)/G497,(G497-K497)/G497))</f>
        <v/>
      </c>
      <c r="P497" s="100">
        <f>IF(OR(N497="",H497="",G497="",ABS(G497-H497)=0),"",N497/(ABS(G497-H497)*J497))</f>
        <v/>
      </c>
      <c r="Q497" s="74">
        <f>IF(N497="","",IF(N497&gt;0,"WIN",IF(N497&lt;0,"LOSS","FLAT")))</f>
        <v/>
      </c>
      <c r="AC497" s="98">
        <f>IF(N497="","",N497-IF(Z497="",0,Z497))</f>
        <v/>
      </c>
    </row>
    <row r="498" ht="15" customHeight="1" s="75">
      <c r="A498" s="74">
        <f>IF(B498="","",ROW()-1)</f>
        <v/>
      </c>
      <c r="N498" s="98">
        <f>IF(OR(K498="",G498="",J498=""),"",IF(E498="LONG",(K498-G498)*J498,(G498-K498)*J498))</f>
        <v/>
      </c>
      <c r="O498" s="99">
        <f>IF(OR(K498="",G498="",G498=0),"",IF(E498="LONG",(K498-G498)/G498,(G498-K498)/G498))</f>
        <v/>
      </c>
      <c r="P498" s="100">
        <f>IF(OR(N498="",H498="",G498="",ABS(G498-H498)=0),"",N498/(ABS(G498-H498)*J498))</f>
        <v/>
      </c>
      <c r="Q498" s="74">
        <f>IF(N498="","",IF(N498&gt;0,"WIN",IF(N498&lt;0,"LOSS","FLAT")))</f>
        <v/>
      </c>
      <c r="AC498" s="98">
        <f>IF(N498="","",N498-IF(Z498="",0,Z498))</f>
        <v/>
      </c>
    </row>
    <row r="499" ht="15" customHeight="1" s="75">
      <c r="A499" s="74">
        <f>IF(B499="","",ROW()-1)</f>
        <v/>
      </c>
      <c r="N499" s="98">
        <f>IF(OR(K499="",G499="",J499=""),"",IF(E499="LONG",(K499-G499)*J499,(G499-K499)*J499))</f>
        <v/>
      </c>
      <c r="O499" s="99">
        <f>IF(OR(K499="",G499="",G499=0),"",IF(E499="LONG",(K499-G499)/G499,(G499-K499)/G499))</f>
        <v/>
      </c>
      <c r="P499" s="100">
        <f>IF(OR(N499="",H499="",G499="",ABS(G499-H499)=0),"",N499/(ABS(G499-H499)*J499))</f>
        <v/>
      </c>
      <c r="Q499" s="74">
        <f>IF(N499="","",IF(N499&gt;0,"WIN",IF(N499&lt;0,"LOSS","FLAT")))</f>
        <v/>
      </c>
      <c r="AC499" s="98">
        <f>IF(N499="","",N499-IF(Z499="",0,Z499))</f>
        <v/>
      </c>
    </row>
    <row r="500" ht="15" customHeight="1" s="75">
      <c r="A500" s="74">
        <f>IF(B500="","",ROW()-1)</f>
        <v/>
      </c>
      <c r="N500" s="98">
        <f>IF(OR(K500="",G500="",J500=""),"",IF(E500="LONG",(K500-G500)*J500,(G500-K500)*J500))</f>
        <v/>
      </c>
      <c r="O500" s="99">
        <f>IF(OR(K500="",G500="",G500=0),"",IF(E500="LONG",(K500-G500)/G500,(G500-K500)/G500))</f>
        <v/>
      </c>
      <c r="P500" s="100">
        <f>IF(OR(N500="",H500="",G500="",ABS(G500-H500)=0),"",N500/(ABS(G500-H500)*J500))</f>
        <v/>
      </c>
      <c r="Q500" s="74">
        <f>IF(N500="","",IF(N500&gt;0,"WIN",IF(N500&lt;0,"LOSS","FLAT")))</f>
        <v/>
      </c>
      <c r="AC500" s="98">
        <f>IF(N500="","",N500-IF(Z500="",0,Z500))</f>
        <v/>
      </c>
    </row>
  </sheetData>
  <autoFilter ref="A1:AC1"/>
  <conditionalFormatting sqref="Q2:Q1000">
    <cfRule type="cellIs" rank="0" priority="2" equalAverage="0" operator="equal" aboveAverage="0" dxfId="2" text="" percent="0" bottom="0">
      <formula>"WIN"</formula>
    </cfRule>
    <cfRule type="cellIs" rank="0" priority="3" equalAverage="0" operator="equal" aboveAverage="0" dxfId="3" text="" percent="0" bottom="0">
      <formula>"LOSS"</formula>
    </cfRule>
  </conditionalFormatting>
  <conditionalFormatting sqref="N2:N1000">
    <cfRule type="cellIs" rank="0" priority="4" equalAverage="0" operator="greaterThan" aboveAverage="0" dxfId="4" text="" percent="0" bottom="0">
      <formula>0</formula>
    </cfRule>
    <cfRule type="cellIs" rank="0" priority="5" equalAverage="0" operator="lessThan" aboveAverage="0" dxfId="5" text="" percent="0" bottom="0">
      <formula>0</formula>
    </cfRule>
  </conditionalFormatting>
  <conditionalFormatting sqref="U2:U1000">
    <cfRule type="cellIs" rank="0" priority="6" equalAverage="0" operator="equal" aboveAverage="0" dxfId="2" text="" percent="0" bottom="0">
      <formula>"A"</formula>
    </cfRule>
    <cfRule type="cellIs" rank="0" priority="7" equalAverage="0" operator="equal" aboveAverage="0" dxfId="3" text="" percent="0" bottom="0">
      <formula>"C"</formula>
    </cfRule>
    <cfRule type="cellIs" rank="0" priority="8" equalAverage="0" operator="equal" aboveAverage="0" dxfId="6" text="" percent="0" bottom="0">
      <formula>"B"</formula>
    </cfRule>
  </conditionalFormatting>
  <conditionalFormatting sqref="V2:V1000">
    <cfRule type="cellIs" rank="0" priority="9" equalAverage="0" operator="equal" aboveAverage="0" dxfId="2" text="" percent="0" bottom="0">
      <formula>"Y"</formula>
    </cfRule>
    <cfRule type="cellIs" rank="0" priority="10" equalAverage="0" operator="equal" aboveAverage="0" dxfId="3" text="" percent="0" bottom="0">
      <formula>"N"</formula>
    </cfRule>
  </conditionalFormatting>
  <conditionalFormatting sqref="AC2:AC1000">
    <cfRule type="cellIs" rank="0" priority="11" equalAverage="0" operator="greaterThan" aboveAverage="0" dxfId="4" text="" percent="0" bottom="0">
      <formula>0</formula>
    </cfRule>
    <cfRule type="cellIs" rank="0" priority="12" equalAverage="0" operator="lessThan" aboveAverage="0" dxfId="5" text="" percent="0" bottom="0">
      <formula>0</formula>
    </cfRule>
  </conditionalFormatting>
  <dataValidations count="8">
    <dataValidation sqref="E2:E1000" showDropDown="0" showInputMessage="0" showErrorMessage="0" allowBlank="1" error="Must be LONG or SHORT" type="list" errorStyle="stop" operator="between">
      <formula1>"LONG,SHORT"</formula1>
      <formula2>0</formula2>
    </dataValidation>
    <dataValidation sqref="F2:F1000" showDropDown="0" showInputMessage="0" showErrorMessage="0" allowBlank="1" type="list" errorStyle="stop" operator="between">
      <formula1>"BOX_REV,MANIP,VWAP_SEP,EMA9_SEP,VWAP_KISS,EMA_PULL,EMA_RETEST"</formula1>
      <formula2>0</formula2>
    </dataValidation>
    <dataValidation sqref="M2:M1000" showDropDown="0" showInputMessage="0" showErrorMessage="0" allowBlank="1" type="list" errorStyle="stop" operator="between">
      <formula1>"Target Hit,Stop Hit,Trailing Stop,Time Exit,Manual,Partial"</formula1>
      <formula2>0</formula2>
    </dataValidation>
    <dataValidation sqref="U2:U1000" showDropDown="0" showInputMessage="0" showErrorMessage="0" allowBlank="1" error="Must be A, B, or C" type="list" errorStyle="stop" operator="between">
      <formula1>"A,B,C"</formula1>
      <formula2>0</formula2>
    </dataValidation>
    <dataValidation sqref="V2:V1000" showDropDown="0" showInputMessage="0" showErrorMessage="0" allowBlank="1" type="list" errorStyle="stop" operator="between">
      <formula1>"Y,N"</formula1>
      <formula2>0</formula2>
    </dataValidation>
    <dataValidation sqref="W2:W1000" showDropDown="0" showInputMessage="0" showErrorMessage="0" allowBlank="1" type="list" errorStyle="stop" operator="between">
      <formula1>"Calm,Focused,Hesitant,Frustrated,FOMO,Revenge,Tired,Distracted"</formula1>
      <formula2>0</formula2>
    </dataValidation>
    <dataValidation sqref="X2:X1000" showDropDown="0" showInputMessage="0" showErrorMessage="0" allowBlank="1" type="list" errorStyle="stop" operator="between">
      <formula1>"None,Chased Entry,Early Exit,Late Exit,No Stop,Moved Stop,Oversized,Forced Trade,Ignored HTF,Traded Into News,FOMO Entry,Revenge Trade"</formula1>
      <formula2>0</formula2>
    </dataValidation>
    <dataValidation sqref="Y2:Y1000" showDropDown="0" showInputMessage="0" showErrorMessage="0" allowBlank="1" type="list" errorStyle="stop" operator="between">
      <formula1>"Trend,Rotation,Choppy,High Vol,Low Vol"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K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16" customWidth="1" style="74" min="2" max="10"/>
    <col width="14" customWidth="1" style="74" min="11" max="11"/>
  </cols>
  <sheetData>
    <row r="1" ht="34.5" customHeight="1" s="75">
      <c r="A1" s="76" t="inlineStr">
        <is>
          <t>Trading Performance Dashboard</t>
        </is>
      </c>
    </row>
    <row r="2" ht="15" customHeight="1" s="75">
      <c r="B2" s="101" t="inlineStr">
        <is>
          <t>Total Trades</t>
        </is>
      </c>
      <c r="C2" s="101" t="inlineStr">
        <is>
          <t>Win Rate</t>
        </is>
      </c>
      <c r="D2" s="101" t="inlineStr">
        <is>
          <t>Total P&amp;L</t>
        </is>
      </c>
      <c r="E2" s="101" t="inlineStr">
        <is>
          <t>Avg Winner ($)</t>
        </is>
      </c>
      <c r="F2" s="101" t="inlineStr">
        <is>
          <t>Avg Loser ($)</t>
        </is>
      </c>
      <c r="G2" s="101" t="inlineStr">
        <is>
          <t>Profit Factor</t>
        </is>
      </c>
      <c r="H2" s="101" t="inlineStr">
        <is>
          <t>Avg R-Multiple</t>
        </is>
      </c>
      <c r="I2" s="101" t="inlineStr">
        <is>
          <t>Expectancy/Trade</t>
        </is>
      </c>
      <c r="J2" s="101" t="inlineStr">
        <is>
          <t>Net P&amp;L</t>
        </is>
      </c>
      <c r="K2" s="101" t="inlineStr">
        <is>
          <t>Total Fees</t>
        </is>
      </c>
    </row>
    <row r="3" ht="21.75" customHeight="1" s="75">
      <c r="B3" s="102">
        <f>COUNTIF('Trade Log'!Q2:Q1000,"WIN")+COUNTIF('Trade Log'!Q2:Q1000,"LOSS")+COUNTIF('Trade Log'!Q2:Q1000,"FLAT")</f>
        <v/>
      </c>
      <c r="C3" s="103">
        <f>IF(B3=0,"-",COUNTIF('Trade Log'!Q2:Q1000,"WIN")/(COUNTIF('Trade Log'!Q2:Q1000,"WIN")+COUNTIF('Trade Log'!Q2:Q1000,"LOSS")+COUNTIF('Trade Log'!Q2:Q1000,"FLAT")))</f>
        <v/>
      </c>
      <c r="D3" s="104">
        <f>SUMIF('Trade Log'!N2:N500,"&gt;0")+SUMIF('Trade Log'!N2:N500,"&lt;0")</f>
        <v/>
      </c>
      <c r="E3" s="104">
        <f>IF(COUNTIF('Trade Log'!Q2:Q1000,"WIN")=0,"-",AVERAGEIF('Trade Log'!Q2:Q1000,"WIN",'Trade Log'!N2:N1000))</f>
        <v/>
      </c>
      <c r="F3" s="104">
        <f>IF(COUNTIF('Trade Log'!Q2:Q1000,"LOSS")=0,"-",AVERAGEIF('Trade Log'!Q2:Q1000,"LOSS",'Trade Log'!N2:N1000))</f>
        <v/>
      </c>
      <c r="G3" s="105">
        <f>IF(SUMIF('Trade Log'!N2:N500,"&lt;0")=0,"-",SUMIF('Trade Log'!N2:N500,"&gt;0")/ABS(SUMIF('Trade Log'!N2:N500,"&lt;0")))</f>
        <v/>
      </c>
      <c r="H3" s="105">
        <f>IFERROR(IF(COUNTA('Trade Log'!R2:P1000)=0,"-",AVERAGE('Trade Log'!R2:P1000)),"-")</f>
        <v/>
      </c>
      <c r="I3" s="104">
        <f>IF(B3=0,"-",D3/B3)</f>
        <v/>
      </c>
      <c r="J3" s="104">
        <f>SUMIF('Trade Log'!AC2:AC500,"&gt;0")+SUMIF('Trade Log'!AC2:AC500,"&lt;0")</f>
        <v/>
      </c>
      <c r="K3" s="104">
        <f>SUMIF('Trade Log'!Z2:Z500,"&gt;0")</f>
        <v/>
      </c>
    </row>
    <row r="5" ht="15" customHeight="1" s="75">
      <c r="B5" s="106" t="inlineStr">
        <is>
          <t>Performance by Setup</t>
        </is>
      </c>
    </row>
    <row r="6" ht="26.25" customHeight="1" s="75">
      <c r="A6" s="107" t="n"/>
      <c r="B6" s="79" t="inlineStr">
        <is>
          <t>Setup</t>
        </is>
      </c>
      <c r="C6" s="79" t="inlineStr">
        <is>
          <t>Trades</t>
        </is>
      </c>
      <c r="D6" s="79" t="inlineStr">
        <is>
          <t>Wins</t>
        </is>
      </c>
      <c r="E6" s="79" t="inlineStr">
        <is>
          <t>Win Rate</t>
        </is>
      </c>
      <c r="F6" s="79" t="inlineStr">
        <is>
          <t>Avg P&amp;L</t>
        </is>
      </c>
      <c r="G6" s="79" t="inlineStr">
        <is>
          <t>Total P&amp;L</t>
        </is>
      </c>
      <c r="H6" s="79" t="inlineStr">
        <is>
          <t>Avg R</t>
        </is>
      </c>
      <c r="I6" s="79" t="inlineStr">
        <is>
          <t>Losses</t>
        </is>
      </c>
      <c r="J6" s="79" t="inlineStr">
        <is>
          <t>% of Trades</t>
        </is>
      </c>
    </row>
    <row r="7" ht="15" customHeight="1" s="75">
      <c r="B7" s="108" t="inlineStr">
        <is>
          <t>BOX_REV</t>
        </is>
      </c>
      <c r="C7" s="109">
        <f>COUNTIF('Trade Log'!F:F,"BOX_REV")</f>
        <v/>
      </c>
      <c r="D7" s="109">
        <f>COUNTIFS('Trade Log'!F:F,"BOX_REV",'Trade Log'!Q:Q,"WIN")</f>
        <v/>
      </c>
      <c r="E7" s="110">
        <f>IF(C7=0,"-",D7/C7)</f>
        <v/>
      </c>
      <c r="F7" s="111">
        <f>IF(C7=0,"-",AVERAGEIF('Trade Log'!F:F,"BOX_REV",'Trade Log'!N:N))</f>
        <v/>
      </c>
      <c r="G7" s="111">
        <f>IF(C7=0,"-",SUMIF('Trade Log'!F:F,"BOX_REV",'Trade Log'!N:N))</f>
        <v/>
      </c>
      <c r="H7" s="112">
        <f>IF(C7=0,"-",AVERAGEIF('Trade Log'!F:F,"BOX_REV",'Trade Log'!R:P))</f>
        <v/>
      </c>
      <c r="I7" s="113">
        <f>IF(C7=0,"-",C7-D7)</f>
        <v/>
      </c>
      <c r="J7" s="110">
        <f>IF($B$3=0,"-",C7/$B$3)</f>
        <v/>
      </c>
    </row>
    <row r="8" ht="15" customHeight="1" s="75">
      <c r="B8" s="114" t="inlineStr">
        <is>
          <t>MANIP</t>
        </is>
      </c>
      <c r="C8" s="115">
        <f>COUNTIF('Trade Log'!F:F,"MANIP")</f>
        <v/>
      </c>
      <c r="D8" s="115">
        <f>COUNTIFS('Trade Log'!F:F,"MANIP",'Trade Log'!Q:Q,"WIN")</f>
        <v/>
      </c>
      <c r="E8" s="116">
        <f>IF(C8=0,"-",D8/C8)</f>
        <v/>
      </c>
      <c r="F8" s="117">
        <f>IF(C8=0,"-",AVERAGEIF('Trade Log'!F:F,"MANIP",'Trade Log'!N:N))</f>
        <v/>
      </c>
      <c r="G8" s="117">
        <f>IF(C8=0,"-",SUMIF('Trade Log'!F:F,"MANIP",'Trade Log'!N:N))</f>
        <v/>
      </c>
      <c r="H8" s="118">
        <f>IF(C8=0,"-",AVERAGEIF('Trade Log'!F:F,"MANIP",'Trade Log'!R:P))</f>
        <v/>
      </c>
      <c r="I8" s="119">
        <f>IF(C8=0,"-",C8-D8)</f>
        <v/>
      </c>
      <c r="J8" s="116">
        <f>IF($B$3=0,"-",C8/$B$3)</f>
        <v/>
      </c>
    </row>
    <row r="9" ht="15" customHeight="1" s="75">
      <c r="B9" s="108" t="inlineStr">
        <is>
          <t>VWAP_SEP</t>
        </is>
      </c>
      <c r="C9" s="109">
        <f>COUNTIF('Trade Log'!F:F,"VWAP_SEP")</f>
        <v/>
      </c>
      <c r="D9" s="109">
        <f>COUNTIFS('Trade Log'!F:F,"VWAP_SEP",'Trade Log'!Q:Q,"WIN")</f>
        <v/>
      </c>
      <c r="E9" s="110">
        <f>IF(C9=0,"-",D9/C9)</f>
        <v/>
      </c>
      <c r="F9" s="111">
        <f>IF(C9=0,"-",AVERAGEIF('Trade Log'!F:F,"VWAP_SEP",'Trade Log'!N:N))</f>
        <v/>
      </c>
      <c r="G9" s="111">
        <f>IF(C9=0,"-",SUMIF('Trade Log'!F:F,"VWAP_SEP",'Trade Log'!N:N))</f>
        <v/>
      </c>
      <c r="H9" s="112">
        <f>IF(C9=0,"-",AVERAGEIF('Trade Log'!F:F,"VWAP_SEP",'Trade Log'!R:P))</f>
        <v/>
      </c>
      <c r="I9" s="113">
        <f>IF(C9=0,"-",C9-D9)</f>
        <v/>
      </c>
      <c r="J9" s="110">
        <f>IF($B$3=0,"-",C9/$B$3)</f>
        <v/>
      </c>
    </row>
    <row r="10" ht="15" customHeight="1" s="75">
      <c r="B10" s="114" t="inlineStr">
        <is>
          <t>EMA9_SEP</t>
        </is>
      </c>
      <c r="C10" s="115">
        <f>COUNTIF('Trade Log'!F:F,"EMA9_SEP")</f>
        <v/>
      </c>
      <c r="D10" s="115">
        <f>COUNTIFS('Trade Log'!F:F,"EMA9_SEP",'Trade Log'!Q:Q,"WIN")</f>
        <v/>
      </c>
      <c r="E10" s="116">
        <f>IF(C10=0,"-",D10/C10)</f>
        <v/>
      </c>
      <c r="F10" s="117">
        <f>IF(C10=0,"-",AVERAGEIF('Trade Log'!F:F,"EMA9_SEP",'Trade Log'!N:N))</f>
        <v/>
      </c>
      <c r="G10" s="117">
        <f>IF(C10=0,"-",SUMIF('Trade Log'!F:F,"EMA9_SEP",'Trade Log'!N:N))</f>
        <v/>
      </c>
      <c r="H10" s="118">
        <f>IF(C10=0,"-",AVERAGEIF('Trade Log'!F:F,"EMA9_SEP",'Trade Log'!R:P))</f>
        <v/>
      </c>
      <c r="I10" s="119">
        <f>IF(C10=0,"-",C10-D10)</f>
        <v/>
      </c>
      <c r="J10" s="116">
        <f>IF($B$3=0,"-",C10/$B$3)</f>
        <v/>
      </c>
    </row>
    <row r="11" ht="15" customHeight="1" s="75">
      <c r="B11" s="108" t="inlineStr">
        <is>
          <t>VWAP_KISS</t>
        </is>
      </c>
      <c r="C11" s="109">
        <f>COUNTIF('Trade Log'!F:F,"VWAP_KISS")</f>
        <v/>
      </c>
      <c r="D11" s="109">
        <f>COUNTIFS('Trade Log'!F:F,"VWAP_KISS",'Trade Log'!Q:Q,"WIN")</f>
        <v/>
      </c>
      <c r="E11" s="110">
        <f>IF(C11=0,"-",D11/C11)</f>
        <v/>
      </c>
      <c r="F11" s="111">
        <f>IF(C11=0,"-",AVERAGEIF('Trade Log'!F:F,"VWAP_KISS",'Trade Log'!N:N))</f>
        <v/>
      </c>
      <c r="G11" s="111">
        <f>IF(C11=0,"-",SUMIF('Trade Log'!F:F,"VWAP_KISS",'Trade Log'!N:N))</f>
        <v/>
      </c>
      <c r="H11" s="112">
        <f>IF(C11=0,"-",AVERAGEIF('Trade Log'!F:F,"VWAP_KISS",'Trade Log'!R:P))</f>
        <v/>
      </c>
      <c r="I11" s="113">
        <f>IF(C11=0,"-",C11-D11)</f>
        <v/>
      </c>
      <c r="J11" s="110">
        <f>IF($B$3=0,"-",C11/$B$3)</f>
        <v/>
      </c>
    </row>
    <row r="12" ht="15" customHeight="1" s="75">
      <c r="B12" s="114" t="inlineStr">
        <is>
          <t>EMA_PULL</t>
        </is>
      </c>
      <c r="C12" s="115">
        <f>COUNTIF('Trade Log'!F:F,"EMA_PULL")</f>
        <v/>
      </c>
      <c r="D12" s="115">
        <f>COUNTIFS('Trade Log'!F:F,"EMA_PULL",'Trade Log'!Q:Q,"WIN")</f>
        <v/>
      </c>
      <c r="E12" s="116">
        <f>IF(C12=0,"-",D12/C12)</f>
        <v/>
      </c>
      <c r="F12" s="117">
        <f>IF(C12=0,"-",AVERAGEIF('Trade Log'!F:F,"EMA_PULL",'Trade Log'!N:N))</f>
        <v/>
      </c>
      <c r="G12" s="117">
        <f>IF(C12=0,"-",SUMIF('Trade Log'!F:F,"EMA_PULL",'Trade Log'!N:N))</f>
        <v/>
      </c>
      <c r="H12" s="118">
        <f>IF(C12=0,"-",AVERAGEIF('Trade Log'!F:F,"EMA_PULL",'Trade Log'!R:P))</f>
        <v/>
      </c>
      <c r="I12" s="119">
        <f>IF(C12=0,"-",C12-D12)</f>
        <v/>
      </c>
      <c r="J12" s="116">
        <f>IF($B$3=0,"-",C12/$B$3)</f>
        <v/>
      </c>
    </row>
    <row r="13" ht="15" customHeight="1" s="75">
      <c r="B13" s="108" t="inlineStr">
        <is>
          <t>EMA_RETEST</t>
        </is>
      </c>
      <c r="C13" s="109">
        <f>COUNTIF('Trade Log'!F:F,"EMA_RETEST")</f>
        <v/>
      </c>
      <c r="D13" s="109">
        <f>COUNTIFS('Trade Log'!F:F,"EMA_RETEST",'Trade Log'!Q:Q,"WIN")</f>
        <v/>
      </c>
      <c r="E13" s="110">
        <f>IF(C13=0,"-",D13/C13)</f>
        <v/>
      </c>
      <c r="F13" s="111">
        <f>IF(C13=0,"-",AVERAGEIF('Trade Log'!F:F,"EMA_RETEST",'Trade Log'!N:N))</f>
        <v/>
      </c>
      <c r="G13" s="111">
        <f>IF(C13=0,"-",SUMIF('Trade Log'!F:F,"EMA_RETEST",'Trade Log'!N:N))</f>
        <v/>
      </c>
      <c r="H13" s="112">
        <f>IF(C13=0,"-",AVERAGEIF('Trade Log'!F:F,"EMA_RETEST",'Trade Log'!R:P))</f>
        <v/>
      </c>
      <c r="I13" s="113">
        <f>IF(C13=0,"-",C13-D13)</f>
        <v/>
      </c>
      <c r="J13" s="110">
        <f>IF($B$3=0,"-",C13/$B$3)</f>
        <v/>
      </c>
    </row>
    <row r="16" ht="15" customHeight="1" s="75">
      <c r="B16" s="106" t="inlineStr">
        <is>
          <t>Performance by Direction</t>
        </is>
      </c>
    </row>
    <row r="17" ht="15" customHeight="1" s="75">
      <c r="A17" s="107" t="n"/>
      <c r="B17" s="79" t="inlineStr">
        <is>
          <t>Direction</t>
        </is>
      </c>
      <c r="C17" s="79" t="inlineStr">
        <is>
          <t>Trades</t>
        </is>
      </c>
      <c r="D17" s="79" t="inlineStr">
        <is>
          <t>Wins</t>
        </is>
      </c>
      <c r="E17" s="79" t="inlineStr">
        <is>
          <t>Win Rate</t>
        </is>
      </c>
      <c r="F17" s="79" t="inlineStr">
        <is>
          <t>Avg P&amp;L</t>
        </is>
      </c>
      <c r="G17" s="79" t="inlineStr">
        <is>
          <t>Total P&amp;L</t>
        </is>
      </c>
      <c r="H17" s="79" t="inlineStr">
        <is>
          <t>Avg R</t>
        </is>
      </c>
    </row>
    <row r="18" ht="15" customHeight="1" s="75">
      <c r="B18" s="114" t="inlineStr">
        <is>
          <t>LONG</t>
        </is>
      </c>
      <c r="C18" s="115">
        <f>COUNTIF('Trade Log'!E:E,"LONG")</f>
        <v/>
      </c>
      <c r="D18" s="115">
        <f>COUNTIFS('Trade Log'!E:E,"LONG",'Trade Log'!Q:Q,"WIN")</f>
        <v/>
      </c>
      <c r="E18" s="116">
        <f>IF(C18=0,"-",D18/C18)</f>
        <v/>
      </c>
      <c r="F18" s="117">
        <f>IF(C18=0,"-",AVERAGEIF('Trade Log'!E:E,"LONG",'Trade Log'!N:N))</f>
        <v/>
      </c>
      <c r="G18" s="117">
        <f>IF(C18=0,"-",SUMIF('Trade Log'!E:E,"LONG",'Trade Log'!N:N))</f>
        <v/>
      </c>
      <c r="H18" s="118">
        <f>IFERROR(IF(C18=0,"-",AVERAGEIF('Trade Log'!E:E,"LONG",'Trade Log'!R:P)),"-")</f>
        <v/>
      </c>
    </row>
    <row r="19" ht="15" customHeight="1" s="75">
      <c r="B19" s="114" t="inlineStr">
        <is>
          <t>SHORT</t>
        </is>
      </c>
      <c r="C19" s="115">
        <f>COUNTIF('Trade Log'!E:E,"SHORT")</f>
        <v/>
      </c>
      <c r="D19" s="115">
        <f>COUNTIFS('Trade Log'!E:E,"SHORT",'Trade Log'!Q:Q,"WIN")</f>
        <v/>
      </c>
      <c r="E19" s="116">
        <f>IF(C19=0,"-",D19/C19)</f>
        <v/>
      </c>
      <c r="F19" s="117">
        <f>IF(C19=0,"-",AVERAGEIF('Trade Log'!E:E,"SHORT",'Trade Log'!N:N))</f>
        <v/>
      </c>
      <c r="G19" s="117">
        <f>IF(C19=0,"-",SUMIF('Trade Log'!E:E,"SHORT",'Trade Log'!N:N))</f>
        <v/>
      </c>
      <c r="H19" s="118">
        <f>IFERROR(IF(C19=0,"-",AVERAGEIF('Trade Log'!E:E,"SHORT",'Trade Log'!R:P)),"-")</f>
        <v/>
      </c>
    </row>
    <row r="22" ht="15" customHeight="1" s="75">
      <c r="B22" s="106" t="inlineStr">
        <is>
          <t>Performance by Time of Day</t>
        </is>
      </c>
    </row>
    <row r="23" ht="15" customHeight="1" s="75">
      <c r="A23" s="107" t="n"/>
      <c r="B23" s="79" t="inlineStr">
        <is>
          <t>Time Block</t>
        </is>
      </c>
      <c r="C23" s="79" t="inlineStr">
        <is>
          <t>Trades</t>
        </is>
      </c>
      <c r="D23" s="79" t="inlineStr">
        <is>
          <t>Wins</t>
        </is>
      </c>
      <c r="E23" s="79" t="inlineStr">
        <is>
          <t>Win Rate</t>
        </is>
      </c>
      <c r="F23" s="79" t="inlineStr">
        <is>
          <t>Avg P&amp;L</t>
        </is>
      </c>
      <c r="G23" s="79" t="inlineStr">
        <is>
          <t>Total P&amp;L</t>
        </is>
      </c>
    </row>
    <row r="24" ht="15" customHeight="1" s="75">
      <c r="B24" s="108" t="inlineStr">
        <is>
          <t>9:30-10:00 (Open)</t>
        </is>
      </c>
      <c r="C24" s="109">
        <f>COUNTIFS('Trade Log'!C:C,"&gt;="&amp;TIME(9,30,0),'Trade Log'!C:C,"&lt;"&amp;TIME(10,0,0))</f>
        <v/>
      </c>
      <c r="D24" s="109">
        <f>COUNTIFS('Trade Log'!C:C,"&gt;="&amp;TIME(9,30,0),'Trade Log'!C:C,"&lt;"&amp;TIME(10,0,0),'Trade Log'!Q:Q,"WIN")</f>
        <v/>
      </c>
      <c r="E24" s="110">
        <f>IF(C24=0,"-",D24/C24)</f>
        <v/>
      </c>
      <c r="F24" s="111">
        <f>IF(C24=0,"-",AVERAGEIFS('Trade Log'!N:N,'Trade Log'!C:C,"&gt;="&amp;TIME(9,30,0),'Trade Log'!C:C,"&lt;"&amp;TIME(10,0,0)))</f>
        <v/>
      </c>
      <c r="G24" s="111">
        <f>IF(C24=0,"-",SUMIFS('Trade Log'!N:N,'Trade Log'!C:C,"&gt;="&amp;TIME(9,30,0),'Trade Log'!C:C,"&lt;"&amp;TIME(10,0,0)))</f>
        <v/>
      </c>
    </row>
    <row r="25" ht="23.25" customHeight="1" s="75">
      <c r="B25" s="114" t="inlineStr">
        <is>
          <t>10:00-10:45 (Morning)</t>
        </is>
      </c>
      <c r="C25" s="115">
        <f>COUNTIFS('Trade Log'!C:C,"&gt;="&amp;TIME(10,0,0),'Trade Log'!C:C,"&lt;"&amp;TIME(10,45,0))</f>
        <v/>
      </c>
      <c r="D25" s="115">
        <f>COUNTIFS('Trade Log'!C:C,"&gt;="&amp;TIME(10,0,0),'Trade Log'!C:C,"&lt;"&amp;TIME(10,45,0),'Trade Log'!Q:Q,"WIN")</f>
        <v/>
      </c>
      <c r="E25" s="116">
        <f>IF(C25=0,"-",D25/C25)</f>
        <v/>
      </c>
      <c r="F25" s="117">
        <f>IF(C25=0,"-",AVERAGEIFS('Trade Log'!N:N,'Trade Log'!C:C,"&gt;="&amp;TIME(10,0,0),'Trade Log'!C:C,"&lt;"&amp;TIME(10,45,0)))</f>
        <v/>
      </c>
      <c r="G25" s="117">
        <f>IF(C25=0,"-",SUMIFS('Trade Log'!N:N,'Trade Log'!C:C,"&gt;="&amp;TIME(10,0,0),'Trade Log'!C:C,"&lt;"&amp;TIME(10,45,0)))</f>
        <v/>
      </c>
    </row>
    <row r="26" ht="23.25" customHeight="1" s="75">
      <c r="B26" s="108" t="inlineStr">
        <is>
          <t>10:45-12:00 (Mid-AM)</t>
        </is>
      </c>
      <c r="C26" s="109">
        <f>COUNTIFS('Trade Log'!C:C,"&gt;="&amp;TIME(10,45,0),'Trade Log'!C:C,"&lt;"&amp;TIME(12,0,0))</f>
        <v/>
      </c>
      <c r="D26" s="109">
        <f>COUNTIFS('Trade Log'!C:C,"&gt;="&amp;TIME(10,45,0),'Trade Log'!C:C,"&lt;"&amp;TIME(12,0,0),'Trade Log'!Q:Q,"WIN")</f>
        <v/>
      </c>
      <c r="E26" s="110">
        <f>IF(C26=0,"-",D26/C26)</f>
        <v/>
      </c>
      <c r="F26" s="111">
        <f>IF(C26=0,"-",AVERAGEIFS('Trade Log'!N:N,'Trade Log'!C:C,"&gt;="&amp;TIME(10,45,0),'Trade Log'!C:C,"&lt;"&amp;TIME(12,0,0)))</f>
        <v/>
      </c>
      <c r="G26" s="111">
        <f>IF(C26=0,"-",SUMIFS('Trade Log'!N:N,'Trade Log'!C:C,"&gt;="&amp;TIME(10,45,0),'Trade Log'!C:C,"&lt;"&amp;TIME(12,0,0)))</f>
        <v/>
      </c>
    </row>
    <row r="27" ht="23.25" customHeight="1" s="75">
      <c r="B27" s="114" t="inlineStr">
        <is>
          <t>12:00-1:30 (Lunch)</t>
        </is>
      </c>
      <c r="C27" s="115">
        <f>COUNTIFS('Trade Log'!C:C,"&gt;="&amp;TIME(12,0,0),'Trade Log'!C:C,"&lt;"&amp;TIME(13,30,0))</f>
        <v/>
      </c>
      <c r="D27" s="115">
        <f>COUNTIFS('Trade Log'!C:C,"&gt;="&amp;TIME(12,0,0),'Trade Log'!C:C,"&lt;"&amp;TIME(13,30,0),'Trade Log'!Q:Q,"WIN")</f>
        <v/>
      </c>
      <c r="E27" s="116">
        <f>IF(C27=0,"-",D27/C27)</f>
        <v/>
      </c>
      <c r="F27" s="117">
        <f>IF(C27=0,"-",AVERAGEIFS('Trade Log'!N:N,'Trade Log'!C:C,"&gt;="&amp;TIME(12,0,0),'Trade Log'!C:C,"&lt;"&amp;TIME(13,30,0)))</f>
        <v/>
      </c>
      <c r="G27" s="117">
        <f>IF(C27=0,"-",SUMIFS('Trade Log'!N:N,'Trade Log'!C:C,"&gt;="&amp;TIME(12,0,0),'Trade Log'!C:C,"&lt;"&amp;TIME(13,30,0)))</f>
        <v/>
      </c>
    </row>
    <row r="28" ht="23.25" customHeight="1" s="75">
      <c r="B28" s="108" t="inlineStr">
        <is>
          <t>1:30-3:00 (Afternoon)</t>
        </is>
      </c>
      <c r="C28" s="109">
        <f>COUNTIFS('Trade Log'!C:C,"&gt;="&amp;TIME(13,30,0),'Trade Log'!C:C,"&lt;"&amp;TIME(15,0,0))</f>
        <v/>
      </c>
      <c r="D28" s="109">
        <f>COUNTIFS('Trade Log'!C:C,"&gt;="&amp;TIME(13,30,0),'Trade Log'!C:C,"&lt;"&amp;TIME(15,0,0),'Trade Log'!Q:Q,"WIN")</f>
        <v/>
      </c>
      <c r="E28" s="110">
        <f>IF(C28=0,"-",D28/C28)</f>
        <v/>
      </c>
      <c r="F28" s="111">
        <f>IF(C28=0,"-",AVERAGEIFS('Trade Log'!N:N,'Trade Log'!C:C,"&gt;="&amp;TIME(13,30,0),'Trade Log'!C:C,"&lt;"&amp;TIME(15,0,0)))</f>
        <v/>
      </c>
      <c r="G28" s="111">
        <f>IF(C28=0,"-",SUMIFS('Trade Log'!N:N,'Trade Log'!C:C,"&gt;="&amp;TIME(13,30,0),'Trade Log'!C:C,"&lt;"&amp;TIME(15,0,0)))</f>
        <v/>
      </c>
    </row>
    <row r="29" ht="15" customHeight="1" s="75">
      <c r="B29" s="114" t="inlineStr">
        <is>
          <t>3:00-4:00 (Close)</t>
        </is>
      </c>
      <c r="C29" s="115">
        <f>COUNTIFS('Trade Log'!C:C,"&gt;="&amp;TIME(15,0,0),'Trade Log'!C:C,"&lt;"&amp;TIME(16,0,0))</f>
        <v/>
      </c>
      <c r="D29" s="115">
        <f>COUNTIFS('Trade Log'!C:C,"&gt;="&amp;TIME(15,0,0),'Trade Log'!C:C,"&lt;"&amp;TIME(16,0,0),'Trade Log'!Q:Q,"WIN")</f>
        <v/>
      </c>
      <c r="E29" s="116">
        <f>IF(C29=0,"-",D29/C29)</f>
        <v/>
      </c>
      <c r="F29" s="117">
        <f>IF(C29=0,"-",AVERAGEIFS('Trade Log'!N:N,'Trade Log'!C:C,"&gt;="&amp;TIME(15,0,0),'Trade Log'!C:C,"&lt;"&amp;TIME(16,0,0)))</f>
        <v/>
      </c>
      <c r="G29" s="117">
        <f>IF(C29=0,"-",SUMIFS('Trade Log'!N:N,'Trade Log'!C:C,"&gt;="&amp;TIME(15,0,0),'Trade Log'!C:C,"&lt;"&amp;TIME(16,0,0)))</f>
        <v/>
      </c>
    </row>
    <row r="32" ht="15.75" customHeight="1" s="75">
      <c r="B32" s="106" t="inlineStr">
        <is>
          <t>Performance by Setup Grade</t>
        </is>
      </c>
    </row>
    <row r="33" ht="15" customHeight="1" s="75">
      <c r="B33" s="79" t="inlineStr">
        <is>
          <t>Grade</t>
        </is>
      </c>
      <c r="C33" s="79" t="inlineStr">
        <is>
          <t>Trades</t>
        </is>
      </c>
      <c r="D33" s="79" t="inlineStr">
        <is>
          <t>Wins</t>
        </is>
      </c>
      <c r="E33" s="79" t="inlineStr">
        <is>
          <t>Win Rate</t>
        </is>
      </c>
      <c r="F33" s="79" t="inlineStr">
        <is>
          <t>Avg P&amp;L</t>
        </is>
      </c>
      <c r="G33" s="79" t="inlineStr">
        <is>
          <t>Total P&amp;L</t>
        </is>
      </c>
      <c r="H33" s="79" t="inlineStr">
        <is>
          <t>Avg R</t>
        </is>
      </c>
      <c r="I33" s="79" t="inlineStr">
        <is>
          <t>% of Trades</t>
        </is>
      </c>
    </row>
    <row r="34" ht="15" customHeight="1" s="75">
      <c r="B34" s="120" t="inlineStr">
        <is>
          <t>A</t>
        </is>
      </c>
      <c r="C34" s="121">
        <f>COUNTIF('Trade Log'!U:U,"A")</f>
        <v/>
      </c>
      <c r="D34" s="121">
        <f>COUNTIFS('Trade Log'!U:U,"A",'Trade Log'!Q:Q,"WIN")</f>
        <v/>
      </c>
      <c r="E34" s="122">
        <f>IF(C34=0,"-",D34/C34)</f>
        <v/>
      </c>
      <c r="F34" s="123">
        <f>IF(C34=0,"-",AVERAGEIF('Trade Log'!U:U,"A",'Trade Log'!N:N))</f>
        <v/>
      </c>
      <c r="G34" s="123">
        <f>IF(C34=0,"-",SUMIF('Trade Log'!U:U,"A",'Trade Log'!N:N))</f>
        <v/>
      </c>
      <c r="H34" s="124">
        <f>IF(C34=0,"-",AVERAGEIF('Trade Log'!U:U,"A",'Trade Log'!R:P))</f>
        <v/>
      </c>
      <c r="I34" s="122">
        <f>IF($B$3=0,"-",C34/$B$3)</f>
        <v/>
      </c>
    </row>
    <row r="35" ht="15" customHeight="1" s="75">
      <c r="B35" s="125" t="inlineStr">
        <is>
          <t>B</t>
        </is>
      </c>
      <c r="C35" s="126">
        <f>COUNTIF('Trade Log'!U:U,"B")</f>
        <v/>
      </c>
      <c r="D35" s="126">
        <f>COUNTIFS('Trade Log'!U:U,"B",'Trade Log'!Q:Q,"WIN")</f>
        <v/>
      </c>
      <c r="E35" s="127">
        <f>IF(C35=0,"-",D35/C35)</f>
        <v/>
      </c>
      <c r="F35" s="128">
        <f>IF(C35=0,"-",AVERAGEIF('Trade Log'!U:U,"B",'Trade Log'!N:N))</f>
        <v/>
      </c>
      <c r="G35" s="128">
        <f>IF(C35=0,"-",SUMIF('Trade Log'!U:U,"B",'Trade Log'!N:N))</f>
        <v/>
      </c>
      <c r="H35" s="129">
        <f>IF(C35=0,"-",AVERAGEIF('Trade Log'!U:U,"B",'Trade Log'!R:P))</f>
        <v/>
      </c>
      <c r="I35" s="127">
        <f>IF($B$3=0,"-",C35/$B$3)</f>
        <v/>
      </c>
    </row>
    <row r="36" ht="15" customHeight="1" s="75">
      <c r="B36" s="130" t="inlineStr">
        <is>
          <t>C</t>
        </is>
      </c>
      <c r="C36" s="131">
        <f>COUNTIF('Trade Log'!U:U,"C")</f>
        <v/>
      </c>
      <c r="D36" s="131">
        <f>COUNTIFS('Trade Log'!U:U,"C",'Trade Log'!Q:Q,"WIN")</f>
        <v/>
      </c>
      <c r="E36" s="132">
        <f>IF(C36=0,"-",D36/C36)</f>
        <v/>
      </c>
      <c r="F36" s="133">
        <f>IF(C36=0,"-",AVERAGEIF('Trade Log'!U:U,"C",'Trade Log'!N:N))</f>
        <v/>
      </c>
      <c r="G36" s="133">
        <f>IF(C36=0,"-",SUMIF('Trade Log'!U:U,"C",'Trade Log'!N:N))</f>
        <v/>
      </c>
      <c r="H36" s="134">
        <f>IF(C36=0,"-",AVERAGEIF('Trade Log'!U:U,"C",'Trade Log'!R:P))</f>
        <v/>
      </c>
      <c r="I36" s="132">
        <f>IF($B$3=0,"-",C36/$B$3)</f>
        <v/>
      </c>
    </row>
    <row r="38" ht="15.75" customHeight="1" s="75">
      <c r="B38" s="106" t="inlineStr">
        <is>
          <t>Rule Adherence Impact</t>
        </is>
      </c>
    </row>
    <row r="39" ht="26.25" customHeight="1" s="75">
      <c r="B39" s="79" t="inlineStr">
        <is>
          <t>Rules Followed?</t>
        </is>
      </c>
      <c r="C39" s="79" t="inlineStr">
        <is>
          <t>Trades</t>
        </is>
      </c>
      <c r="D39" s="79" t="inlineStr">
        <is>
          <t>Wins</t>
        </is>
      </c>
      <c r="E39" s="79" t="inlineStr">
        <is>
          <t>Win Rate</t>
        </is>
      </c>
      <c r="F39" s="79" t="inlineStr">
        <is>
          <t>Avg P&amp;L</t>
        </is>
      </c>
      <c r="G39" s="79" t="inlineStr">
        <is>
          <t>Total P&amp;L</t>
        </is>
      </c>
      <c r="H39" s="79" t="inlineStr">
        <is>
          <t>Avg R</t>
        </is>
      </c>
    </row>
    <row r="40" ht="27.75" customHeight="1" s="75">
      <c r="B40" s="120" t="inlineStr">
        <is>
          <t>Yes (followed plan)</t>
        </is>
      </c>
      <c r="C40" s="121">
        <f>COUNTIF('Trade Log'!V:V,"Y")</f>
        <v/>
      </c>
      <c r="D40" s="121">
        <f>COUNTIFS('Trade Log'!V:V,"Y",'Trade Log'!Q:Q,"WIN")</f>
        <v/>
      </c>
      <c r="E40" s="122">
        <f>IF(C40=0,"-",D40/C40)</f>
        <v/>
      </c>
      <c r="F40" s="123">
        <f>IF(C40=0,"-",AVERAGEIF('Trade Log'!V:V,"Y",'Trade Log'!N:N))</f>
        <v/>
      </c>
      <c r="G40" s="123">
        <f>IF(C40=0,"-",SUMIF('Trade Log'!V:V,"Y",'Trade Log'!N:N))</f>
        <v/>
      </c>
      <c r="H40" s="124">
        <f>IF(C40=0,"-",AVERAGEIF('Trade Log'!V:V,"Y",'Trade Log'!R:P))</f>
        <v/>
      </c>
    </row>
    <row r="41" ht="15" customHeight="1" s="75">
      <c r="B41" s="130" t="inlineStr">
        <is>
          <t>No (broke rules)</t>
        </is>
      </c>
      <c r="C41" s="131">
        <f>COUNTIF('Trade Log'!V:V,"N")</f>
        <v/>
      </c>
      <c r="D41" s="131">
        <f>COUNTIFS('Trade Log'!V:V,"N",'Trade Log'!Q:Q,"WIN")</f>
        <v/>
      </c>
      <c r="E41" s="132">
        <f>IF(C41=0,"-",D41/C41)</f>
        <v/>
      </c>
      <c r="F41" s="133">
        <f>IF(C41=0,"-",AVERAGEIF('Trade Log'!V:V,"N",'Trade Log'!N:N))</f>
        <v/>
      </c>
      <c r="G41" s="133">
        <f>IF(C41=0,"-",SUMIF('Trade Log'!V:V,"N",'Trade Log'!N:N))</f>
        <v/>
      </c>
      <c r="H41" s="134">
        <f>IF(C41=0,"-",AVERAGEIF('Trade Log'!V:V,"N",'Trade Log'!R:P))</f>
        <v/>
      </c>
    </row>
    <row r="42" ht="18" customHeight="1" s="75">
      <c r="B42" s="135" t="inlineStr">
        <is>
          <t>Behavioral Drag (cost of breaking rules):</t>
        </is>
      </c>
      <c r="F42" s="136">
        <f>IF(COUNTIF('Trade Log'!V:V,"N")=0,"-",SUMIF('Trade Log'!V:V,"N",'Trade Log'!N:N))</f>
        <v/>
      </c>
    </row>
    <row r="45" ht="15.75" customHeight="1" s="75">
      <c r="B45" s="106" t="inlineStr">
        <is>
          <t>Performance by Emotional State</t>
        </is>
      </c>
    </row>
    <row r="46" ht="15" customHeight="1" s="75">
      <c r="B46" s="79" t="inlineStr">
        <is>
          <t>State</t>
        </is>
      </c>
      <c r="C46" s="79" t="inlineStr">
        <is>
          <t>Trades</t>
        </is>
      </c>
      <c r="D46" s="79" t="inlineStr">
        <is>
          <t>Wins</t>
        </is>
      </c>
      <c r="E46" s="79" t="inlineStr">
        <is>
          <t>Win Rate</t>
        </is>
      </c>
      <c r="F46" s="79" t="inlineStr">
        <is>
          <t>Avg P&amp;L</t>
        </is>
      </c>
      <c r="G46" s="79" t="inlineStr">
        <is>
          <t>Total P&amp;L</t>
        </is>
      </c>
    </row>
    <row r="47" ht="15" customHeight="1" s="75">
      <c r="B47" s="108" t="inlineStr">
        <is>
          <t>Calm</t>
        </is>
      </c>
      <c r="C47" s="109">
        <f>COUNTIF('Trade Log'!W:W,"Calm")</f>
        <v/>
      </c>
      <c r="D47" s="109">
        <f>COUNTIFS('Trade Log'!W:W,"Calm",'Trade Log'!Q:Q,"WIN")</f>
        <v/>
      </c>
      <c r="E47" s="110">
        <f>IF(C47=0,"-",D47/C47)</f>
        <v/>
      </c>
      <c r="F47" s="111">
        <f>IF(C47=0,"-",AVERAGEIF('Trade Log'!W:W,"Calm",'Trade Log'!N:N))</f>
        <v/>
      </c>
      <c r="G47" s="111">
        <f>IF(C47=0,"-",SUMIF('Trade Log'!W:W,"Calm",'Trade Log'!N:N))</f>
        <v/>
      </c>
    </row>
    <row r="48" ht="15" customHeight="1" s="75">
      <c r="B48" s="114" t="inlineStr">
        <is>
          <t>Focused</t>
        </is>
      </c>
      <c r="C48" s="115">
        <f>COUNTIF('Trade Log'!W:W,"Focused")</f>
        <v/>
      </c>
      <c r="D48" s="115">
        <f>COUNTIFS('Trade Log'!W:W,"Focused",'Trade Log'!Q:Q,"WIN")</f>
        <v/>
      </c>
      <c r="E48" s="116">
        <f>IF(C48=0,"-",D48/C48)</f>
        <v/>
      </c>
      <c r="F48" s="117">
        <f>IF(C48=0,"-",AVERAGEIF('Trade Log'!W:W,"Focused",'Trade Log'!N:N))</f>
        <v/>
      </c>
      <c r="G48" s="117">
        <f>IF(C48=0,"-",SUMIF('Trade Log'!W:W,"Focused",'Trade Log'!N:N))</f>
        <v/>
      </c>
    </row>
    <row r="49" ht="15" customHeight="1" s="75">
      <c r="B49" s="108" t="inlineStr">
        <is>
          <t>Hesitant</t>
        </is>
      </c>
      <c r="C49" s="109">
        <f>COUNTIF('Trade Log'!W:W,"Hesitant")</f>
        <v/>
      </c>
      <c r="D49" s="109">
        <f>COUNTIFS('Trade Log'!W:W,"Hesitant",'Trade Log'!Q:Q,"WIN")</f>
        <v/>
      </c>
      <c r="E49" s="110">
        <f>IF(C49=0,"-",D49/C49)</f>
        <v/>
      </c>
      <c r="F49" s="111">
        <f>IF(C49=0,"-",AVERAGEIF('Trade Log'!W:W,"Hesitant",'Trade Log'!N:N))</f>
        <v/>
      </c>
      <c r="G49" s="111">
        <f>IF(C49=0,"-",SUMIF('Trade Log'!W:W,"Hesitant",'Trade Log'!N:N))</f>
        <v/>
      </c>
    </row>
    <row r="50" ht="15" customHeight="1" s="75">
      <c r="B50" s="114" t="inlineStr">
        <is>
          <t>Frustrated</t>
        </is>
      </c>
      <c r="C50" s="115">
        <f>COUNTIF('Trade Log'!W:W,"Frustrated")</f>
        <v/>
      </c>
      <c r="D50" s="115">
        <f>COUNTIFS('Trade Log'!W:W,"Frustrated",'Trade Log'!Q:Q,"WIN")</f>
        <v/>
      </c>
      <c r="E50" s="116">
        <f>IF(C50=0,"-",D50/C50)</f>
        <v/>
      </c>
      <c r="F50" s="117">
        <f>IF(C50=0,"-",AVERAGEIF('Trade Log'!W:W,"Frustrated",'Trade Log'!N:N))</f>
        <v/>
      </c>
      <c r="G50" s="117">
        <f>IF(C50=0,"-",SUMIF('Trade Log'!W:W,"Frustrated",'Trade Log'!N:N))</f>
        <v/>
      </c>
    </row>
    <row r="51" ht="15" customHeight="1" s="75">
      <c r="B51" s="108" t="inlineStr">
        <is>
          <t>FOMO</t>
        </is>
      </c>
      <c r="C51" s="109">
        <f>COUNTIF('Trade Log'!W:W,"FOMO")</f>
        <v/>
      </c>
      <c r="D51" s="109">
        <f>COUNTIFS('Trade Log'!W:W,"FOMO",'Trade Log'!Q:Q,"WIN")</f>
        <v/>
      </c>
      <c r="E51" s="110">
        <f>IF(C51=0,"-",D51/C51)</f>
        <v/>
      </c>
      <c r="F51" s="111">
        <f>IF(C51=0,"-",AVERAGEIF('Trade Log'!W:W,"FOMO",'Trade Log'!N:N))</f>
        <v/>
      </c>
      <c r="G51" s="111">
        <f>IF(C51=0,"-",SUMIF('Trade Log'!W:W,"FOMO",'Trade Log'!N:N))</f>
        <v/>
      </c>
    </row>
    <row r="52" ht="15.75" customHeight="1" s="75">
      <c r="B52" s="114" t="inlineStr">
        <is>
          <t>Revenge</t>
        </is>
      </c>
      <c r="C52" s="115">
        <f>COUNTIF('Trade Log'!W:W,"Revenge")</f>
        <v/>
      </c>
      <c r="D52" s="115">
        <f>COUNTIFS('Trade Log'!W:W,"Revenge",'Trade Log'!Q:Q,"WIN")</f>
        <v/>
      </c>
      <c r="E52" s="116">
        <f>IF(C52=0,"-",D52/C52)</f>
        <v/>
      </c>
      <c r="F52" s="117">
        <f>IF(C52=0,"-",AVERAGEIF('Trade Log'!W:W,"Revenge",'Trade Log'!N:N))</f>
        <v/>
      </c>
      <c r="G52" s="117">
        <f>IF(C52=0,"-",SUMIF('Trade Log'!W:W,"Revenge",'Trade Log'!N:N))</f>
        <v/>
      </c>
    </row>
    <row r="53" ht="15.75" customHeight="1" s="75">
      <c r="B53" s="108" t="inlineStr">
        <is>
          <t>Tired</t>
        </is>
      </c>
      <c r="C53" s="109">
        <f>COUNTIF('Trade Log'!W:W,"Tired")</f>
        <v/>
      </c>
      <c r="D53" s="109">
        <f>COUNTIFS('Trade Log'!W:W,"Tired",'Trade Log'!Q:Q,"WIN")</f>
        <v/>
      </c>
      <c r="E53" s="110">
        <f>IF(C53=0,"-",D53/C53)</f>
        <v/>
      </c>
      <c r="F53" s="111">
        <f>IF(C53=0,"-",AVERAGEIF('Trade Log'!W:W,"Tired",'Trade Log'!N:N))</f>
        <v/>
      </c>
      <c r="G53" s="111">
        <f>IF(C53=0,"-",SUMIF('Trade Log'!W:W,"Tired",'Trade Log'!N:N))</f>
        <v/>
      </c>
    </row>
    <row r="54" ht="15.75" customHeight="1" s="75">
      <c r="B54" s="114" t="inlineStr">
        <is>
          <t>Distracted</t>
        </is>
      </c>
      <c r="C54" s="115">
        <f>COUNTIF('Trade Log'!W:W,"Distracted")</f>
        <v/>
      </c>
      <c r="D54" s="115">
        <f>COUNTIFS('Trade Log'!W:W,"Distracted",'Trade Log'!Q:Q,"WIN")</f>
        <v/>
      </c>
      <c r="E54" s="116">
        <f>IF(C54=0,"-",D54/C54)</f>
        <v/>
      </c>
      <c r="F54" s="117">
        <f>IF(C54=0,"-",AVERAGEIF('Trade Log'!W:W,"Distracted",'Trade Log'!N:N))</f>
        <v/>
      </c>
      <c r="G54" s="117">
        <f>IF(C54=0,"-",SUMIF('Trade Log'!W:W,"Distracted",'Trade Log'!N:N))</f>
        <v/>
      </c>
    </row>
    <row r="56" ht="15.75" customHeight="1" s="75">
      <c r="B56" s="106" t="inlineStr">
        <is>
          <t>Performance by Market Regime</t>
        </is>
      </c>
    </row>
    <row r="57" ht="15" customHeight="1" s="75">
      <c r="B57" s="79" t="inlineStr">
        <is>
          <t>Regime</t>
        </is>
      </c>
      <c r="C57" s="79" t="inlineStr">
        <is>
          <t>Trades</t>
        </is>
      </c>
      <c r="D57" s="79" t="inlineStr">
        <is>
          <t>Wins</t>
        </is>
      </c>
      <c r="E57" s="79" t="inlineStr">
        <is>
          <t>Win Rate</t>
        </is>
      </c>
      <c r="F57" s="79" t="inlineStr">
        <is>
          <t>Avg P&amp;L</t>
        </is>
      </c>
      <c r="G57" s="79" t="inlineStr">
        <is>
          <t>Total P&amp;L</t>
        </is>
      </c>
      <c r="H57" s="79" t="inlineStr">
        <is>
          <t>Avg R</t>
        </is>
      </c>
    </row>
    <row r="58" ht="15" customHeight="1" s="75">
      <c r="B58" s="108" t="inlineStr">
        <is>
          <t>Trend</t>
        </is>
      </c>
      <c r="C58" s="109">
        <f>COUNTIF('Trade Log'!Y:Y,"Trend")</f>
        <v/>
      </c>
      <c r="D58" s="109">
        <f>COUNTIFS('Trade Log'!Y:Y,"Trend",'Trade Log'!Q:Q,"WIN")</f>
        <v/>
      </c>
      <c r="E58" s="110">
        <f>IF(C58=0,"-",D58/C58)</f>
        <v/>
      </c>
      <c r="F58" s="111">
        <f>IF(C58=0,"-",AVERAGEIF('Trade Log'!Y:Y,"Trend",'Trade Log'!N:N))</f>
        <v/>
      </c>
      <c r="G58" s="111">
        <f>IF(C58=0,"-",SUMIF('Trade Log'!Y:Y,"Trend",'Trade Log'!N:N))</f>
        <v/>
      </c>
      <c r="H58" s="112">
        <f>IF(C58=0,"-",AVERAGEIF('Trade Log'!Y:Y,"Trend",'Trade Log'!R:P))</f>
        <v/>
      </c>
    </row>
    <row r="59" ht="15" customHeight="1" s="75">
      <c r="B59" s="114" t="inlineStr">
        <is>
          <t>Rotation</t>
        </is>
      </c>
      <c r="C59" s="115">
        <f>COUNTIF('Trade Log'!Y:Y,"Rotation")</f>
        <v/>
      </c>
      <c r="D59" s="115">
        <f>COUNTIFS('Trade Log'!Y:Y,"Rotation",'Trade Log'!Q:Q,"WIN")</f>
        <v/>
      </c>
      <c r="E59" s="116">
        <f>IF(C59=0,"-",D59/C59)</f>
        <v/>
      </c>
      <c r="F59" s="117">
        <f>IF(C59=0,"-",AVERAGEIF('Trade Log'!Y:Y,"Rotation",'Trade Log'!N:N))</f>
        <v/>
      </c>
      <c r="G59" s="117">
        <f>IF(C59=0,"-",SUMIF('Trade Log'!Y:Y,"Rotation",'Trade Log'!N:N))</f>
        <v/>
      </c>
      <c r="H59" s="118">
        <f>IF(C59=0,"-",AVERAGEIF('Trade Log'!Y:Y,"Rotation",'Trade Log'!R:P))</f>
        <v/>
      </c>
    </row>
    <row r="60" ht="15" customHeight="1" s="75">
      <c r="B60" s="108" t="inlineStr">
        <is>
          <t>Choppy</t>
        </is>
      </c>
      <c r="C60" s="109">
        <f>COUNTIF('Trade Log'!Y:Y,"Choppy")</f>
        <v/>
      </c>
      <c r="D60" s="109">
        <f>COUNTIFS('Trade Log'!Y:Y,"Choppy",'Trade Log'!Q:Q,"WIN")</f>
        <v/>
      </c>
      <c r="E60" s="110">
        <f>IF(C60=0,"-",D60/C60)</f>
        <v/>
      </c>
      <c r="F60" s="111">
        <f>IF(C60=0,"-",AVERAGEIF('Trade Log'!Y:Y,"Choppy",'Trade Log'!N:N))</f>
        <v/>
      </c>
      <c r="G60" s="111">
        <f>IF(C60=0,"-",SUMIF('Trade Log'!Y:Y,"Choppy",'Trade Log'!N:N))</f>
        <v/>
      </c>
      <c r="H60" s="112">
        <f>IF(C60=0,"-",AVERAGEIF('Trade Log'!Y:Y,"Choppy",'Trade Log'!R:P))</f>
        <v/>
      </c>
    </row>
    <row r="61" ht="15.75" customHeight="1" s="75">
      <c r="B61" s="114" t="inlineStr">
        <is>
          <t>High Vol</t>
        </is>
      </c>
      <c r="C61" s="115">
        <f>COUNTIF('Trade Log'!Y:Y,"High Vol")</f>
        <v/>
      </c>
      <c r="D61" s="115">
        <f>COUNTIFS('Trade Log'!Y:Y,"High Vol",'Trade Log'!Q:Q,"WIN")</f>
        <v/>
      </c>
      <c r="E61" s="116">
        <f>IF(C61=0,"-",D61/C61)</f>
        <v/>
      </c>
      <c r="F61" s="117">
        <f>IF(C61=0,"-",AVERAGEIF('Trade Log'!Y:Y,"High Vol",'Trade Log'!N:N))</f>
        <v/>
      </c>
      <c r="G61" s="117">
        <f>IF(C61=0,"-",SUMIF('Trade Log'!Y:Y,"High Vol",'Trade Log'!N:N))</f>
        <v/>
      </c>
      <c r="H61" s="118">
        <f>IF(C61=0,"-",AVERAGEIF('Trade Log'!Y:Y,"High Vol",'Trade Log'!R:P))</f>
        <v/>
      </c>
    </row>
    <row r="62" ht="15.75" customHeight="1" s="75">
      <c r="B62" s="108" t="inlineStr">
        <is>
          <t>Low Vol</t>
        </is>
      </c>
      <c r="C62" s="109">
        <f>COUNTIF('Trade Log'!Y:Y,"Low Vol")</f>
        <v/>
      </c>
      <c r="D62" s="109">
        <f>COUNTIFS('Trade Log'!Y:Y,"Low Vol",'Trade Log'!Q:Q,"WIN")</f>
        <v/>
      </c>
      <c r="E62" s="110">
        <f>IF(C62=0,"-",D62/C62)</f>
        <v/>
      </c>
      <c r="F62" s="111">
        <f>IF(C62=0,"-",AVERAGEIF('Trade Log'!Y:Y,"Low Vol",'Trade Log'!N:N))</f>
        <v/>
      </c>
      <c r="G62" s="111">
        <f>IF(C62=0,"-",SUMIF('Trade Log'!Y:Y,"Low Vol",'Trade Log'!N:N))</f>
        <v/>
      </c>
      <c r="H62" s="112">
        <f>IF(C62=0,"-",AVERAGEIF('Trade Log'!Y:Y,"Low Vol",'Trade Log'!R:P))</f>
        <v/>
      </c>
    </row>
    <row r="64" ht="15.75" customHeight="1" s="75">
      <c r="B64" s="106" t="inlineStr">
        <is>
          <t>Mistake Cost Analysis</t>
        </is>
      </c>
    </row>
    <row r="65" ht="15" customHeight="1" s="75">
      <c r="B65" s="79" t="inlineStr">
        <is>
          <t>Mistake</t>
        </is>
      </c>
      <c r="C65" s="79" t="inlineStr">
        <is>
          <t>Count</t>
        </is>
      </c>
      <c r="D65" s="79" t="inlineStr">
        <is>
          <t>Win Rate</t>
        </is>
      </c>
      <c r="E65" s="79" t="inlineStr">
        <is>
          <t>Total P&amp;L</t>
        </is>
      </c>
      <c r="F65" s="79" t="inlineStr">
        <is>
          <t>Avg P&amp;L</t>
        </is>
      </c>
      <c r="G65" s="79" t="inlineStr">
        <is>
          <t>% of All Losses</t>
        </is>
      </c>
    </row>
    <row r="66" ht="15" customHeight="1" s="75">
      <c r="B66" s="114" t="inlineStr">
        <is>
          <t>None</t>
        </is>
      </c>
      <c r="C66" s="115">
        <f>COUNTIF('Trade Log'!X:X,"None")</f>
        <v/>
      </c>
      <c r="D66" s="116">
        <f>IF(C66=0,"-",COUNTIFS('Trade Log'!X:X,"None",'Trade Log'!Q:Q,"WIN")/C66)</f>
        <v/>
      </c>
      <c r="E66" s="117">
        <f>IF(C66=0,"-",SUMIF('Trade Log'!X:X,"None",'Trade Log'!N:N))</f>
        <v/>
      </c>
      <c r="F66" s="117">
        <f>IF(C66=0,"-",AVERAGEIF('Trade Log'!X:X,"None",'Trade Log'!N:N))</f>
        <v/>
      </c>
      <c r="G66" s="116">
        <f>IF(OR(C66=0,SUMIF('Trade Log'!N:N,"&lt;0")=0),"-",SUMIF('Trade Log'!X:X,"None",'Trade Log'!N:N)/SUMIF('Trade Log'!N:N,"&lt;0"))</f>
        <v/>
      </c>
    </row>
    <row r="67" ht="15" customHeight="1" s="75">
      <c r="B67" s="114" t="inlineStr">
        <is>
          <t>Chased Entry</t>
        </is>
      </c>
      <c r="C67" s="115">
        <f>COUNTIF('Trade Log'!X:X,"Chased Entry")</f>
        <v/>
      </c>
      <c r="D67" s="116">
        <f>IF(C67=0,"-",COUNTIFS('Trade Log'!X:X,"Chased Entry",'Trade Log'!Q:Q,"WIN")/C67)</f>
        <v/>
      </c>
      <c r="E67" s="137">
        <f>IF(C67=0,"-",SUMIF('Trade Log'!X:X,"Chased Entry",'Trade Log'!N:N))</f>
        <v/>
      </c>
      <c r="F67" s="117">
        <f>IF(C67=0,"-",AVERAGEIF('Trade Log'!X:X,"Chased Entry",'Trade Log'!N:N))</f>
        <v/>
      </c>
      <c r="G67" s="116">
        <f>IF(OR(C67=0,SUMIF('Trade Log'!N:N,"&lt;0")=0),"-",SUMIF('Trade Log'!X:X,"Chased Entry",'Trade Log'!N:N)/SUMIF('Trade Log'!N:N,"&lt;0"))</f>
        <v/>
      </c>
    </row>
    <row r="68" ht="15.75" customHeight="1" s="75">
      <c r="B68" s="114" t="inlineStr">
        <is>
          <t>Early Exit</t>
        </is>
      </c>
      <c r="C68" s="115">
        <f>COUNTIF('Trade Log'!X:X,"Early Exit")</f>
        <v/>
      </c>
      <c r="D68" s="116">
        <f>IF(C68=0,"-",COUNTIFS('Trade Log'!X:X,"Early Exit",'Trade Log'!Q:Q,"WIN")/C68)</f>
        <v/>
      </c>
      <c r="E68" s="137">
        <f>IF(C68=0,"-",SUMIF('Trade Log'!X:X,"Early Exit",'Trade Log'!N:N))</f>
        <v/>
      </c>
      <c r="F68" s="117">
        <f>IF(C68=0,"-",AVERAGEIF('Trade Log'!X:X,"Early Exit",'Trade Log'!N:N))</f>
        <v/>
      </c>
      <c r="G68" s="116">
        <f>IF(OR(C68=0,SUMIF('Trade Log'!N:N,"&lt;0")=0),"-",SUMIF('Trade Log'!X:X,"Early Exit",'Trade Log'!N:N)/SUMIF('Trade Log'!N:N,"&lt;0"))</f>
        <v/>
      </c>
    </row>
    <row r="69" ht="15" customHeight="1" s="75">
      <c r="B69" s="114" t="inlineStr">
        <is>
          <t>Late Exit</t>
        </is>
      </c>
      <c r="C69" s="115">
        <f>COUNTIF('Trade Log'!X:X,"Late Exit")</f>
        <v/>
      </c>
      <c r="D69" s="116">
        <f>IF(C69=0,"-",COUNTIFS('Trade Log'!X:X,"Late Exit",'Trade Log'!Q:Q,"WIN")/C69)</f>
        <v/>
      </c>
      <c r="E69" s="137">
        <f>IF(C69=0,"-",SUMIF('Trade Log'!X:X,"Late Exit",'Trade Log'!N:N))</f>
        <v/>
      </c>
      <c r="F69" s="117">
        <f>IF(C69=0,"-",AVERAGEIF('Trade Log'!X:X,"Late Exit",'Trade Log'!N:N))</f>
        <v/>
      </c>
      <c r="G69" s="116">
        <f>IF(OR(C69=0,SUMIF('Trade Log'!N:N,"&lt;0")=0),"-",SUMIF('Trade Log'!X:X,"Late Exit",'Trade Log'!N:N)/SUMIF('Trade Log'!N:N,"&lt;0"))</f>
        <v/>
      </c>
    </row>
    <row r="70" ht="15.75" customHeight="1" s="75">
      <c r="B70" s="114" t="inlineStr">
        <is>
          <t>No Stop</t>
        </is>
      </c>
      <c r="C70" s="115">
        <f>COUNTIF('Trade Log'!X:X,"No Stop")</f>
        <v/>
      </c>
      <c r="D70" s="116">
        <f>IF(C70=0,"-",COUNTIFS('Trade Log'!X:X,"No Stop",'Trade Log'!Q:Q,"WIN")/C70)</f>
        <v/>
      </c>
      <c r="E70" s="137">
        <f>IF(C70=0,"-",SUMIF('Trade Log'!X:X,"No Stop",'Trade Log'!N:N))</f>
        <v/>
      </c>
      <c r="F70" s="117">
        <f>IF(C70=0,"-",AVERAGEIF('Trade Log'!X:X,"No Stop",'Trade Log'!N:N))</f>
        <v/>
      </c>
      <c r="G70" s="116">
        <f>IF(OR(C70=0,SUMIF('Trade Log'!N:N,"&lt;0")=0),"-",SUMIF('Trade Log'!X:X,"No Stop",'Trade Log'!N:N)/SUMIF('Trade Log'!N:N,"&lt;0"))</f>
        <v/>
      </c>
    </row>
    <row r="71" ht="15.75" customHeight="1" s="75">
      <c r="B71" s="114" t="inlineStr">
        <is>
          <t>Moved Stop</t>
        </is>
      </c>
      <c r="C71" s="115">
        <f>COUNTIF('Trade Log'!X:X,"Moved Stop")</f>
        <v/>
      </c>
      <c r="D71" s="116">
        <f>IF(C71=0,"-",COUNTIFS('Trade Log'!X:X,"Moved Stop",'Trade Log'!Q:Q,"WIN")/C71)</f>
        <v/>
      </c>
      <c r="E71" s="137">
        <f>IF(C71=0,"-",SUMIF('Trade Log'!X:X,"Moved Stop",'Trade Log'!N:N))</f>
        <v/>
      </c>
      <c r="F71" s="117">
        <f>IF(C71=0,"-",AVERAGEIF('Trade Log'!X:X,"Moved Stop",'Trade Log'!N:N))</f>
        <v/>
      </c>
      <c r="G71" s="116">
        <f>IF(OR(C71=0,SUMIF('Trade Log'!N:N,"&lt;0")=0),"-",SUMIF('Trade Log'!X:X,"Moved Stop",'Trade Log'!N:N)/SUMIF('Trade Log'!N:N,"&lt;0"))</f>
        <v/>
      </c>
    </row>
    <row r="72" ht="15.75" customHeight="1" s="75">
      <c r="B72" s="114" t="inlineStr">
        <is>
          <t>Oversized</t>
        </is>
      </c>
      <c r="C72" s="115">
        <f>COUNTIF('Trade Log'!X:X,"Oversized")</f>
        <v/>
      </c>
      <c r="D72" s="116">
        <f>IF(C72=0,"-",COUNTIFS('Trade Log'!X:X,"Oversized",'Trade Log'!Q:Q,"WIN")/C72)</f>
        <v/>
      </c>
      <c r="E72" s="137">
        <f>IF(C72=0,"-",SUMIF('Trade Log'!X:X,"Oversized",'Trade Log'!N:N))</f>
        <v/>
      </c>
      <c r="F72" s="117">
        <f>IF(C72=0,"-",AVERAGEIF('Trade Log'!X:X,"Oversized",'Trade Log'!N:N))</f>
        <v/>
      </c>
      <c r="G72" s="116">
        <f>IF(OR(C72=0,SUMIF('Trade Log'!N:N,"&lt;0")=0),"-",SUMIF('Trade Log'!X:X,"Oversized",'Trade Log'!N:N)/SUMIF('Trade Log'!N:N,"&lt;0"))</f>
        <v/>
      </c>
    </row>
    <row r="73" ht="15" customHeight="1" s="75">
      <c r="B73" s="114" t="inlineStr">
        <is>
          <t>Forced Trade</t>
        </is>
      </c>
      <c r="C73" s="115">
        <f>COUNTIF('Trade Log'!X:X,"Forced Trade")</f>
        <v/>
      </c>
      <c r="D73" s="116">
        <f>IF(C73=0,"-",COUNTIFS('Trade Log'!X:X,"Forced Trade",'Trade Log'!Q:Q,"WIN")/C73)</f>
        <v/>
      </c>
      <c r="E73" s="137">
        <f>IF(C73=0,"-",SUMIF('Trade Log'!X:X,"Forced Trade",'Trade Log'!N:N))</f>
        <v/>
      </c>
      <c r="F73" s="117">
        <f>IF(C73=0,"-",AVERAGEIF('Trade Log'!X:X,"Forced Trade",'Trade Log'!N:N))</f>
        <v/>
      </c>
      <c r="G73" s="116">
        <f>IF(OR(C73=0,SUMIF('Trade Log'!N:N,"&lt;0")=0),"-",SUMIF('Trade Log'!X:X,"Forced Trade",'Trade Log'!N:N)/SUMIF('Trade Log'!N:N,"&lt;0"))</f>
        <v/>
      </c>
    </row>
    <row r="74" ht="15.75" customHeight="1" s="75">
      <c r="B74" s="114" t="inlineStr">
        <is>
          <t>FOMO Entry</t>
        </is>
      </c>
      <c r="C74" s="115">
        <f>COUNTIF('Trade Log'!X:X,"FOMO Entry")</f>
        <v/>
      </c>
      <c r="D74" s="116">
        <f>IF(C74=0,"-",COUNTIFS('Trade Log'!X:X,"FOMO Entry",'Trade Log'!Q:Q,"WIN")/C74)</f>
        <v/>
      </c>
      <c r="E74" s="137">
        <f>IF(C74=0,"-",SUMIF('Trade Log'!X:X,"FOMO Entry",'Trade Log'!N:N))</f>
        <v/>
      </c>
      <c r="F74" s="117">
        <f>IF(C74=0,"-",AVERAGEIF('Trade Log'!X:X,"FOMO Entry",'Trade Log'!N:N))</f>
        <v/>
      </c>
      <c r="G74" s="116">
        <f>IF(OR(C74=0,SUMIF('Trade Log'!N:N,"&lt;0")=0),"-",SUMIF('Trade Log'!X:X,"FOMO Entry",'Trade Log'!N:N)/SUMIF('Trade Log'!N:N,"&lt;0"))</f>
        <v/>
      </c>
    </row>
    <row r="75" ht="15.75" customHeight="1" s="75">
      <c r="B75" s="114" t="inlineStr">
        <is>
          <t>Revenge Trade</t>
        </is>
      </c>
      <c r="C75" s="115">
        <f>COUNTIF('Trade Log'!X:X,"Revenge Trade")</f>
        <v/>
      </c>
      <c r="D75" s="116">
        <f>IF(C75=0,"-",COUNTIFS('Trade Log'!X:X,"Revenge Trade",'Trade Log'!Q:Q,"WIN")/C75)</f>
        <v/>
      </c>
      <c r="E75" s="137">
        <f>IF(C75=0,"-",SUMIF('Trade Log'!X:X,"Revenge Trade",'Trade Log'!N:N))</f>
        <v/>
      </c>
      <c r="F75" s="117">
        <f>IF(C75=0,"-",AVERAGEIF('Trade Log'!X:X,"Revenge Trade",'Trade Log'!N:N))</f>
        <v/>
      </c>
      <c r="G75" s="116">
        <f>IF(OR(C75=0,SUMIF('Trade Log'!N:N,"&lt;0")=0),"-",SUMIF('Trade Log'!X:X,"Revenge Trade",'Trade Log'!N:N)/SUMIF('Trade Log'!N:N,"&lt;0"))</f>
        <v/>
      </c>
    </row>
    <row r="77" ht="18" customHeight="1" s="75">
      <c r="B77" s="138" t="inlineStr">
        <is>
          <t>P&amp;L if all mistake trades excluded:</t>
        </is>
      </c>
      <c r="E77" s="139">
        <f>SUMIF('Trade Log'!X:X,"None",'Trade Log'!N:N)</f>
        <v/>
      </c>
    </row>
    <row r="78" ht="15.75" customHeight="1" s="75">
      <c r="B78" s="106" t="inlineStr">
        <is>
          <t>MAE / MFE Analysis</t>
        </is>
      </c>
    </row>
    <row r="79" ht="15" customHeight="1" s="75">
      <c r="B79" s="79" t="inlineStr">
        <is>
          <t>Metric</t>
        </is>
      </c>
      <c r="C79" s="79" t="inlineStr">
        <is>
          <t>Winners</t>
        </is>
      </c>
      <c r="D79" s="79" t="inlineStr">
        <is>
          <t>Losers</t>
        </is>
      </c>
      <c r="E79" s="79" t="inlineStr">
        <is>
          <t>All Trades</t>
        </is>
      </c>
    </row>
    <row r="80" ht="27.75" customHeight="1" s="75">
      <c r="B80" s="114" t="inlineStr">
        <is>
          <t>Avg MAE (adverse)</t>
        </is>
      </c>
      <c r="C80" s="117">
        <f>IFERROR(IF(COUNTIF('Trade Log'!Q:Q,"WIN")=0,"-",AVERAGEIF('Trade Log'!Q:Q,"WIN",'Trade Log'!AA:AA)),"-")</f>
        <v/>
      </c>
      <c r="D80" s="117">
        <f>IFERROR(IF(COUNTIF('Trade Log'!Q:Q,"LOSS")=0,"-",AVERAGEIF('Trade Log'!Q:Q,"LOSS",'Trade Log'!AA:AA)),"-")</f>
        <v/>
      </c>
      <c r="E80" s="117">
        <f>IF(COUNTA('Trade Log'!AA2:AA500)=0,"-",AVERAGE('Trade Log'!AA2:AA500))</f>
        <v/>
      </c>
    </row>
    <row r="81" ht="27.75" customHeight="1" s="75">
      <c r="B81" s="114" t="inlineStr">
        <is>
          <t>Avg MFE (favorable)</t>
        </is>
      </c>
      <c r="C81" s="117">
        <f>IFERROR(IF(COUNTIF('Trade Log'!Q:Q,"WIN")=0,"-",AVERAGEIF('Trade Log'!Q:Q,"WIN",'Trade Log'!AB:AB)),"-")</f>
        <v/>
      </c>
      <c r="D81" s="117">
        <f>IFERROR(IF(COUNTIF('Trade Log'!Q:Q,"LOSS")=0,"-",AVERAGEIF('Trade Log'!Q:Q,"LOSS",'Trade Log'!AB:AB)),"-")</f>
        <v/>
      </c>
      <c r="E81" s="117">
        <f>IF(COUNTA('Trade Log'!AB2:AB500)=0,"-",AVERAGE('Trade Log'!AB2:AB500))</f>
        <v/>
      </c>
    </row>
    <row r="82" ht="27.75" customHeight="1" s="75">
      <c r="B82" s="114" t="inlineStr">
        <is>
          <t>Avg MFE Captured (%)</t>
        </is>
      </c>
      <c r="C82" s="117">
        <f>IFERROR(IF(COUNTIF('Trade Log'!Q:Q,"WIN")=0,"-",1),"-")</f>
        <v/>
      </c>
      <c r="D82" s="117" t="inlineStr">
        <is>
          <t>"-"</t>
        </is>
      </c>
      <c r="E82" s="117" t="inlineStr">
        <is>
          <t>"-"</t>
        </is>
      </c>
    </row>
    <row r="84" ht="15" customHeight="1" s="75">
      <c r="B84" s="140" t="inlineStr">
        <is>
          <t>MAE tells you if stops are too tight (high MAE on winners = good, stop survived noise).</t>
        </is>
      </c>
    </row>
    <row r="85" ht="15" customHeight="1" s="75">
      <c r="B85" s="140" t="inlineStr">
        <is>
          <t>MFE tells you if you're leaving money on the table (high MFE on losers = gave back open profit).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65100"/>
    <outlinePr summaryBelow="1" summaryRight="1"/>
    <pageSetUpPr fitToPage="0"/>
  </sheetPr>
  <dimension ref="A1:H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28" customWidth="1" style="74" min="2" max="2"/>
    <col width="16" customWidth="1" style="74" min="3" max="3"/>
  </cols>
  <sheetData>
    <row r="1" ht="34.5" customHeight="1" s="75">
      <c r="A1" s="76" t="inlineStr">
        <is>
          <t>Behavioral Analysis</t>
        </is>
      </c>
    </row>
    <row r="3" ht="15" customHeight="1" s="75">
      <c r="B3" s="106" t="inlineStr">
        <is>
          <t>Streaks &amp; Risk Metrics</t>
        </is>
      </c>
    </row>
    <row r="4" ht="15" customHeight="1" s="75">
      <c r="B4" s="141" t="inlineStr">
        <is>
          <t>Current Streak</t>
        </is>
      </c>
      <c r="C4" s="142">
        <f>IF(COUNTA('Trade Log'!Q2:Q1000)=0,"-",IF(INDEX('Trade Log'!Q2:Q1000,COUNTA('Trade Log'!Q2:Q1000))="WIN","W","L"))</f>
        <v/>
      </c>
    </row>
    <row r="5" ht="15" customHeight="1" s="75">
      <c r="B5" s="141" t="inlineStr">
        <is>
          <t>Max Win Streak</t>
        </is>
      </c>
      <c r="C5" s="142">
        <f>IF(COUNTA('Trade Log'!Q2:Q1000)=0,"-","See daily log")</f>
        <v/>
      </c>
    </row>
    <row r="6" ht="15" customHeight="1" s="75">
      <c r="B6" s="141" t="inlineStr">
        <is>
          <t>Max Loss Streak</t>
        </is>
      </c>
      <c r="C6" s="142">
        <f>IF(COUNTA('Trade Log'!Q2:Q1000)=0,"-","See daily log")</f>
        <v/>
      </c>
    </row>
    <row r="7" ht="15" customHeight="1" s="75">
      <c r="B7" s="141" t="inlineStr">
        <is>
          <t>Largest Winner ($)</t>
        </is>
      </c>
      <c r="C7" s="143">
        <f>IF(COUNTA('Trade Log'!N2:N1000)=0,"-",MAX('Trade Log'!N2:N1000))</f>
        <v/>
      </c>
    </row>
    <row r="8" ht="15" customHeight="1" s="75">
      <c r="B8" s="141" t="inlineStr">
        <is>
          <t>Largest Loser ($)</t>
        </is>
      </c>
      <c r="C8" s="143">
        <f>IF(COUNTA('Trade Log'!N2:N1000)=0,"-",MIN('Trade Log'!N2:N1000))</f>
        <v/>
      </c>
    </row>
    <row r="9" ht="15" customHeight="1" s="75">
      <c r="B9" s="141" t="inlineStr">
        <is>
          <t>Win/Loss Ratio (size)</t>
        </is>
      </c>
      <c r="C9" s="142">
        <f>IF(OR(COUNTIF('Trade Log'!Q:Q,"WIN")=0,COUNTIF('Trade Log'!Q:Q,"LOSS")=0),"-",ABS(AVERAGEIF('Trade Log'!Q:Q,"WIN",'Trade Log'!N:N)/AVERAGEIF('Trade Log'!Q:Q,"LOSS",'Trade Log'!N:N)))</f>
        <v/>
      </c>
    </row>
    <row r="10" ht="15" customHeight="1" s="75">
      <c r="B10" s="141" t="inlineStr">
        <is>
          <t>Avg Hold Time (min)</t>
        </is>
      </c>
      <c r="C10" s="144">
        <f>IF(COUNTA('Trade Log'!R2:R1000)=0,"-",AVERAGE('Trade Log'!R2:R1000))</f>
        <v/>
      </c>
    </row>
    <row r="11" ht="15" customHeight="1" s="75">
      <c r="B11" s="141" t="inlineStr">
        <is>
          <t>Trades per Day (avg)</t>
        </is>
      </c>
      <c r="C11" s="144">
        <f>IFERROR(IF(COUNTA('Trade Log'!A2:A500)=0,"-",COUNTA('Trade Log'!A2:A500)/MAX(1,SUMPRODUCT(1/COUNTIF('Trade Log'!A2:A500,'Trade Log'!A2:A500)))),"-")</f>
        <v/>
      </c>
    </row>
    <row r="14" ht="15" customHeight="1" s="75">
      <c r="B14" s="106" t="inlineStr">
        <is>
          <t>Exit Reason Breakdown</t>
        </is>
      </c>
    </row>
    <row r="15" ht="26.25" customHeight="1" s="75">
      <c r="A15" s="107" t="n"/>
      <c r="B15" s="79" t="inlineStr">
        <is>
          <t>Exit Reason</t>
        </is>
      </c>
      <c r="C15" s="79" t="inlineStr">
        <is>
          <t>Count</t>
        </is>
      </c>
      <c r="D15" s="79" t="inlineStr">
        <is>
          <t>Win Rate</t>
        </is>
      </c>
      <c r="E15" s="79" t="inlineStr">
        <is>
          <t>Avg P&amp;L</t>
        </is>
      </c>
    </row>
    <row r="16" ht="15" customHeight="1" s="75">
      <c r="B16" s="114" t="inlineStr">
        <is>
          <t>Target Hit</t>
        </is>
      </c>
      <c r="C16" s="115">
        <f>COUNTIF('Trade Log'!M:M,"Target Hit")</f>
        <v/>
      </c>
      <c r="D16" s="116">
        <f>IF(C16=0,"-",COUNTIFS('Trade Log'!M:M,"Target Hit",'Trade Log'!Q:Q,"WIN")/C16)</f>
        <v/>
      </c>
      <c r="E16" s="117">
        <f>IF(C16=0,"-",AVERAGEIF('Trade Log'!M:M,"Target Hit",'Trade Log'!N:N))</f>
        <v/>
      </c>
    </row>
    <row r="17" ht="15" customHeight="1" s="75">
      <c r="B17" s="114" t="inlineStr">
        <is>
          <t>Stop Hit</t>
        </is>
      </c>
      <c r="C17" s="115">
        <f>COUNTIF('Trade Log'!M:M,"Stop Hit")</f>
        <v/>
      </c>
      <c r="D17" s="116">
        <f>IF(C17=0,"-",COUNTIFS('Trade Log'!M:M,"Stop Hit",'Trade Log'!Q:Q,"WIN")/C17)</f>
        <v/>
      </c>
      <c r="E17" s="117">
        <f>IF(C17=0,"-",AVERAGEIF('Trade Log'!M:M,"Stop Hit",'Trade Log'!N:N))</f>
        <v/>
      </c>
    </row>
    <row r="18" ht="15" customHeight="1" s="75">
      <c r="B18" s="114" t="inlineStr">
        <is>
          <t>Trailing Stop</t>
        </is>
      </c>
      <c r="C18" s="115">
        <f>COUNTIF('Trade Log'!M:M,"Trailing Stop")</f>
        <v/>
      </c>
      <c r="D18" s="116">
        <f>IF(C18=0,"-",COUNTIFS('Trade Log'!M:M,"Trailing Stop",'Trade Log'!Q:Q,"WIN")/C18)</f>
        <v/>
      </c>
      <c r="E18" s="117">
        <f>IF(C18=0,"-",AVERAGEIF('Trade Log'!M:M,"Trailing Stop",'Trade Log'!N:N))</f>
        <v/>
      </c>
    </row>
    <row r="19" ht="15" customHeight="1" s="75">
      <c r="B19" s="114" t="inlineStr">
        <is>
          <t>Time Exit</t>
        </is>
      </c>
      <c r="C19" s="115">
        <f>COUNTIF('Trade Log'!M:M,"Time Exit")</f>
        <v/>
      </c>
      <c r="D19" s="116">
        <f>IF(C19=0,"-",COUNTIFS('Trade Log'!M:M,"Time Exit",'Trade Log'!Q:Q,"WIN")/C19)</f>
        <v/>
      </c>
      <c r="E19" s="117">
        <f>IF(C19=0,"-",AVERAGEIF('Trade Log'!M:M,"Time Exit",'Trade Log'!N:N))</f>
        <v/>
      </c>
    </row>
    <row r="20" ht="15" customHeight="1" s="75">
      <c r="B20" s="114" t="inlineStr">
        <is>
          <t>Manual</t>
        </is>
      </c>
      <c r="C20" s="115">
        <f>COUNTIF('Trade Log'!M:M,"Manual")</f>
        <v/>
      </c>
      <c r="D20" s="116">
        <f>IF(C20=0,"-",COUNTIFS('Trade Log'!M:M,"Manual",'Trade Log'!Q:Q,"WIN")/C20)</f>
        <v/>
      </c>
      <c r="E20" s="117">
        <f>IF(C20=0,"-",AVERAGEIF('Trade Log'!M:M,"Manual",'Trade Log'!N:N))</f>
        <v/>
      </c>
    </row>
    <row r="21" ht="15" customHeight="1" s="75">
      <c r="B21" s="114" t="inlineStr">
        <is>
          <t>Partial</t>
        </is>
      </c>
      <c r="C21" s="115">
        <f>COUNTIF('Trade Log'!M:M,"Partial")</f>
        <v/>
      </c>
      <c r="D21" s="116">
        <f>IF(C21=0,"-",COUNTIFS('Trade Log'!M:M,"Partial",'Trade Log'!Q:Q,"WIN")/C21)</f>
        <v/>
      </c>
      <c r="E21" s="117">
        <f>IF(C21=0,"-",AVERAGEIF('Trade Log'!M:M,"Partial",'Trade Log'!N:N))</f>
        <v/>
      </c>
    </row>
    <row r="24" ht="15" customHeight="1" s="75">
      <c r="B24" s="106" t="inlineStr">
        <is>
          <t>Top Symbols by Trade Count</t>
        </is>
      </c>
    </row>
    <row r="25" ht="26.25" customHeight="1" s="75">
      <c r="A25" s="107" t="n"/>
      <c r="B25" s="79" t="inlineStr">
        <is>
          <t>Symbol</t>
        </is>
      </c>
      <c r="C25" s="79" t="inlineStr">
        <is>
          <t>Trades</t>
        </is>
      </c>
      <c r="D25" s="79" t="inlineStr">
        <is>
          <t>Wins</t>
        </is>
      </c>
      <c r="E25" s="79" t="inlineStr">
        <is>
          <t>Win Rate</t>
        </is>
      </c>
      <c r="F25" s="79" t="inlineStr">
        <is>
          <t>Total P&amp;L</t>
        </is>
      </c>
      <c r="G25" s="79" t="inlineStr">
        <is>
          <t>Avg R</t>
        </is>
      </c>
    </row>
    <row r="26" ht="15" customHeight="1" s="75">
      <c r="B26" s="108" t="inlineStr">
        <is>
          <t>TSLA</t>
        </is>
      </c>
      <c r="C26" s="109">
        <f>COUNTIF('Trade Log'!D:D,"TSLA")</f>
        <v/>
      </c>
      <c r="D26" s="109">
        <f>COUNTIFS('Trade Log'!D:D,"TSLA",'Trade Log'!Q:Q,"WIN")</f>
        <v/>
      </c>
      <c r="E26" s="110">
        <f>IF(C26=0,"-",D26/C26)</f>
        <v/>
      </c>
      <c r="F26" s="111">
        <f>IF(C26=0,"-",SUMIF('Trade Log'!D:D,"TSLA",'Trade Log'!N:N))</f>
        <v/>
      </c>
      <c r="G26" s="112">
        <f>IFERROR(IF(C26=0,"-",AVERAGEIF('Trade Log'!D:D,"TSLA",'Trade Log'!R:P)),"-")</f>
        <v/>
      </c>
    </row>
    <row r="27" ht="15" customHeight="1" s="75">
      <c r="B27" s="114" t="inlineStr">
        <is>
          <t>AAPL</t>
        </is>
      </c>
      <c r="C27" s="115">
        <f>COUNTIF('Trade Log'!D:D,"AAPL")</f>
        <v/>
      </c>
      <c r="D27" s="115">
        <f>COUNTIFS('Trade Log'!D:D,"AAPL",'Trade Log'!Q:Q,"WIN")</f>
        <v/>
      </c>
      <c r="E27" s="116">
        <f>IF(C27=0,"-",D27/C27)</f>
        <v/>
      </c>
      <c r="F27" s="117">
        <f>IF(C27=0,"-",SUMIF('Trade Log'!D:D,"AAPL",'Trade Log'!N:N))</f>
        <v/>
      </c>
      <c r="G27" s="118">
        <f>IF(C27=0,"-",AVERAGEIF('Trade Log'!D:D,"AAPL",'Trade Log'!R:P))</f>
        <v/>
      </c>
    </row>
    <row r="28" ht="15" customHeight="1" s="75">
      <c r="B28" s="108" t="inlineStr">
        <is>
          <t>NVDA</t>
        </is>
      </c>
      <c r="C28" s="109">
        <f>COUNTIF('Trade Log'!D:D,"NVDA")</f>
        <v/>
      </c>
      <c r="D28" s="109">
        <f>COUNTIFS('Trade Log'!D:D,"NVDA",'Trade Log'!Q:Q,"WIN")</f>
        <v/>
      </c>
      <c r="E28" s="110">
        <f>IF(C28=0,"-",D28/C28)</f>
        <v/>
      </c>
      <c r="F28" s="111">
        <f>IF(C28=0,"-",SUMIF('Trade Log'!D:D,"NVDA",'Trade Log'!N:N))</f>
        <v/>
      </c>
      <c r="G28" s="112">
        <f>IF(C28=0,"-",AVERAGEIF('Trade Log'!D:D,"NVDA",'Trade Log'!R:P))</f>
        <v/>
      </c>
    </row>
    <row r="29" ht="15" customHeight="1" s="75">
      <c r="B29" s="114" t="inlineStr">
        <is>
          <t>SPY</t>
        </is>
      </c>
      <c r="C29" s="115">
        <f>COUNTIF('Trade Log'!D:D,"SPY")</f>
        <v/>
      </c>
      <c r="D29" s="115">
        <f>COUNTIFS('Trade Log'!D:D,"SPY",'Trade Log'!Q:Q,"WIN")</f>
        <v/>
      </c>
      <c r="E29" s="116">
        <f>IF(C29=0,"-",D29/C29)</f>
        <v/>
      </c>
      <c r="F29" s="117">
        <f>IF(C29=0,"-",SUMIF('Trade Log'!D:D,"SPY",'Trade Log'!N:N))</f>
        <v/>
      </c>
      <c r="G29" s="118">
        <f>IF(C29=0,"-",AVERAGEIF('Trade Log'!D:D,"SPY",'Trade Log'!R:P))</f>
        <v/>
      </c>
    </row>
    <row r="30" ht="15" customHeight="1" s="75">
      <c r="B30" s="108" t="inlineStr">
        <is>
          <t>QQQ</t>
        </is>
      </c>
      <c r="C30" s="109">
        <f>COUNTIF('Trade Log'!D:D,"QQQ")</f>
        <v/>
      </c>
      <c r="D30" s="109">
        <f>COUNTIFS('Trade Log'!D:D,"QQQ",'Trade Log'!Q:Q,"WIN")</f>
        <v/>
      </c>
      <c r="E30" s="110">
        <f>IF(C30=0,"-",D30/C30)</f>
        <v/>
      </c>
      <c r="F30" s="111">
        <f>IF(C30=0,"-",SUMIF('Trade Log'!D:D,"QQQ",'Trade Log'!N:N))</f>
        <v/>
      </c>
      <c r="G30" s="112">
        <f>IF(C30=0,"-",AVERAGEIF('Trade Log'!D:D,"QQQ",'Trade Log'!R:P))</f>
        <v/>
      </c>
    </row>
    <row r="31" ht="15" customHeight="1" s="75">
      <c r="B31" s="114" t="inlineStr">
        <is>
          <t>TQQQ</t>
        </is>
      </c>
      <c r="C31" s="115">
        <f>COUNTIF('Trade Log'!D:D,"TQQQ")</f>
        <v/>
      </c>
      <c r="D31" s="115">
        <f>COUNTIFS('Trade Log'!D:D,"TQQQ",'Trade Log'!Q:Q,"WIN")</f>
        <v/>
      </c>
      <c r="E31" s="116">
        <f>IF(C31=0,"-",D31/C31)</f>
        <v/>
      </c>
      <c r="F31" s="117">
        <f>IF(C31=0,"-",SUMIF('Trade Log'!D:D,"TQQQ",'Trade Log'!N:N))</f>
        <v/>
      </c>
      <c r="G31" s="118">
        <f>IF(C31=0,"-",AVERAGEIF('Trade Log'!D:D,"TQQQ",'Trade Log'!R:P))</f>
        <v/>
      </c>
    </row>
    <row r="32" ht="15" customHeight="1" s="75">
      <c r="B32" s="108" t="inlineStr">
        <is>
          <t>AMD</t>
        </is>
      </c>
      <c r="C32" s="109">
        <f>COUNTIF('Trade Log'!D:D,"AMD")</f>
        <v/>
      </c>
      <c r="D32" s="109">
        <f>COUNTIFS('Trade Log'!D:D,"AMD",'Trade Log'!Q:Q,"WIN")</f>
        <v/>
      </c>
      <c r="E32" s="110">
        <f>IF(C32=0,"-",D32/C32)</f>
        <v/>
      </c>
      <c r="F32" s="111">
        <f>IF(C32=0,"-",SUMIF('Trade Log'!D:D,"AMD",'Trade Log'!N:N))</f>
        <v/>
      </c>
      <c r="G32" s="112">
        <f>IF(C32=0,"-",AVERAGEIF('Trade Log'!D:D,"AMD",'Trade Log'!R:P))</f>
        <v/>
      </c>
    </row>
    <row r="33" ht="15" customHeight="1" s="75">
      <c r="B33" s="114" t="inlineStr">
        <is>
          <t>NVDL</t>
        </is>
      </c>
      <c r="C33" s="115">
        <f>COUNTIF('Trade Log'!D:D,"NVDL")</f>
        <v/>
      </c>
      <c r="D33" s="115">
        <f>COUNTIFS('Trade Log'!D:D,"NVDL",'Trade Log'!Q:Q,"WIN")</f>
        <v/>
      </c>
      <c r="E33" s="116">
        <f>IF(C33=0,"-",D33/C33)</f>
        <v/>
      </c>
      <c r="F33" s="117">
        <f>IF(C33=0,"-",SUMIF('Trade Log'!D:D,"NVDL",'Trade Log'!N:N))</f>
        <v/>
      </c>
      <c r="G33" s="118">
        <f>IF(C33=0,"-",AVERAGEIF('Trade Log'!D:D,"NVDL",'Trade Log'!R:P))</f>
        <v/>
      </c>
    </row>
    <row r="34" ht="15" customHeight="1" s="75">
      <c r="B34" s="108" t="inlineStr">
        <is>
          <t>SPXL</t>
        </is>
      </c>
      <c r="C34" s="109">
        <f>COUNTIF('Trade Log'!D:D,"SPXL")</f>
        <v/>
      </c>
      <c r="D34" s="109">
        <f>COUNTIFS('Trade Log'!D:D,"SPXL",'Trade Log'!Q:Q,"WIN")</f>
        <v/>
      </c>
      <c r="E34" s="110">
        <f>IF(C34=0,"-",D34/C34)</f>
        <v/>
      </c>
      <c r="F34" s="111">
        <f>IF(C34=0,"-",SUMIF('Trade Log'!D:D,"SPXL",'Trade Log'!N:N))</f>
        <v/>
      </c>
      <c r="G34" s="112">
        <f>IF(C34=0,"-",AVERAGEIF('Trade Log'!D:D,"SPXL",'Trade Log'!R:P))</f>
        <v/>
      </c>
    </row>
    <row r="35" ht="15" customHeight="1" s="75">
      <c r="B35" s="114" t="inlineStr">
        <is>
          <t>META</t>
        </is>
      </c>
      <c r="C35" s="115">
        <f>COUNTIF('Trade Log'!D:D,"META")</f>
        <v/>
      </c>
      <c r="D35" s="115">
        <f>COUNTIFS('Trade Log'!D:D,"META",'Trade Log'!Q:Q,"WIN")</f>
        <v/>
      </c>
      <c r="E35" s="116">
        <f>IF(C35=0,"-",D35/C35)</f>
        <v/>
      </c>
      <c r="F35" s="117">
        <f>IF(C35=0,"-",SUMIF('Trade Log'!D:D,"META",'Trade Log'!N:N))</f>
        <v/>
      </c>
      <c r="G35" s="118">
        <f>IF(C35=0,"-",AVERAGEIF('Trade Log'!D:D,"META",'Trade Log'!R:P))</f>
        <v/>
      </c>
    </row>
    <row r="38" ht="15.75" customHeight="1" s="75">
      <c r="B38" s="106" t="inlineStr">
        <is>
          <t>Key Risk Metrics</t>
        </is>
      </c>
    </row>
    <row r="39" ht="15.75" customHeight="1" s="75">
      <c r="B39" s="141" t="inlineStr">
        <is>
          <t>Max Drawdown (approx)</t>
        </is>
      </c>
      <c r="C39" s="143">
        <f>MIN('Trade Log'!N2:N500)</f>
        <v/>
      </c>
    </row>
    <row r="40" ht="15.75" customHeight="1" s="75">
      <c r="B40" s="141" t="inlineStr">
        <is>
          <t>Trades &gt; 1R Loss</t>
        </is>
      </c>
      <c r="C40" s="142">
        <f>COUNTIF('Trade Log'!P2:P500,"&lt;-1")</f>
        <v/>
      </c>
    </row>
    <row r="41" ht="15.75" customHeight="1" s="75">
      <c r="B41" s="141" t="inlineStr">
        <is>
          <t>Avg R on Losers</t>
        </is>
      </c>
      <c r="C41" s="145">
        <f>IFERROR(IF(COUNTIF('Trade Log'!Q:Q,"LOSS")=0,"-",AVERAGEIF('Trade Log'!Q:Q,"LOSS",'Trade Log'!P:P)),"-")</f>
        <v/>
      </c>
    </row>
    <row r="42" ht="15.75" customHeight="1" s="75">
      <c r="B42" s="141" t="inlineStr">
        <is>
          <t>Avg R on Winners</t>
        </is>
      </c>
      <c r="C42" s="145">
        <f>IFERROR(IF(COUNTIF('Trade Log'!Q:Q,"WIN")=0,"-",AVERAGEIF('Trade Log'!Q:Q,"WIN",'Trade Log'!P:P)),"-")</f>
        <v/>
      </c>
    </row>
    <row r="43" ht="15.75" customHeight="1" s="75">
      <c r="B43" s="141" t="inlineStr">
        <is>
          <t>Median Hold (winners)</t>
        </is>
      </c>
      <c r="C43" s="144">
        <f>IF(COUNTIF('Trade Log'!Q:Q,"WIN")=0,"-",MEDIAN(IF('Trade Log'!Q2:Q500="WIN",'Trade Log'!R2:R500)))</f>
        <v/>
      </c>
    </row>
    <row r="44" ht="15.75" customHeight="1" s="75">
      <c r="B44" s="141" t="inlineStr">
        <is>
          <t>Median Hold (losers)</t>
        </is>
      </c>
      <c r="C44" s="144">
        <f>IF(COUNTIF('Trade Log'!Q:Q,"LOSS")=0,"-",MEDIAN(IF('Trade Log'!Q2:Q500="LOSS",'Trade Log'!R2:R500)))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G2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5" customHeight="1" zeroHeight="0" outlineLevelRow="0"/>
  <cols>
    <col width="16" customWidth="1" style="74" min="1" max="7"/>
  </cols>
  <sheetData>
    <row r="1" ht="17.25" customHeight="1" s="75">
      <c r="A1" s="76" t="inlineStr">
        <is>
          <t>Daily P&amp;L Tracker</t>
        </is>
      </c>
    </row>
    <row r="2" ht="26.25" customHeight="1" s="75">
      <c r="A2" s="79" t="inlineStr">
        <is>
          <t>Date</t>
        </is>
      </c>
      <c r="B2" s="79" t="inlineStr">
        <is>
          <t>Trades</t>
        </is>
      </c>
      <c r="C2" s="79" t="inlineStr">
        <is>
          <t>Wins</t>
        </is>
      </c>
      <c r="D2" s="79" t="inlineStr">
        <is>
          <t>Losses</t>
        </is>
      </c>
      <c r="E2" s="79" t="inlineStr">
        <is>
          <t>Win Rate</t>
        </is>
      </c>
      <c r="F2" s="79" t="inlineStr">
        <is>
          <t>Gross P&amp;L</t>
        </is>
      </c>
      <c r="G2" s="79" t="inlineStr">
        <is>
          <t>Cumulative P&amp;L</t>
        </is>
      </c>
    </row>
    <row r="3" ht="15" customHeight="1" s="75">
      <c r="A3" s="146" t="n">
        <v>46084</v>
      </c>
      <c r="B3" s="115">
        <f>IF(A3="","",COUNTIF('Trade Log'!B:B,A3))</f>
        <v/>
      </c>
      <c r="C3" s="115">
        <f>IF(A3="","",COUNTIFS('Trade Log'!B:B,A3,'Trade Log'!Q:Q,"WIN"))</f>
        <v/>
      </c>
      <c r="D3" s="115">
        <f>IF(A3="","",COUNTIFS('Trade Log'!B:B,A3,'Trade Log'!Q:Q,"LOSS"))</f>
        <v/>
      </c>
      <c r="E3" s="116">
        <f>IF(OR(A3="",B3=0),"-",C3/B3)</f>
        <v/>
      </c>
      <c r="F3" s="117">
        <f>IF(A3="","",SUMIF('Trade Log'!B:B,A3,'Trade Log'!N:N))</f>
        <v/>
      </c>
      <c r="G3" s="117">
        <f>IF(A3="","",SUM($F$3:F3))</f>
        <v/>
      </c>
    </row>
    <row r="4" ht="15" customHeight="1" s="75">
      <c r="A4" s="146" t="n">
        <v>46085</v>
      </c>
      <c r="B4" s="115">
        <f>IF(A4="","",COUNTIF('Trade Log'!B:B,A4))</f>
        <v/>
      </c>
      <c r="C4" s="115">
        <f>IF(A4="","",COUNTIFS('Trade Log'!B:B,A4,'Trade Log'!Q:Q,"WIN"))</f>
        <v/>
      </c>
      <c r="D4" s="115">
        <f>IF(A4="","",COUNTIFS('Trade Log'!B:B,A4,'Trade Log'!Q:Q,"LOSS"))</f>
        <v/>
      </c>
      <c r="E4" s="116">
        <f>IF(OR(A4="",B4=0),"-",C4/B4)</f>
        <v/>
      </c>
      <c r="F4" s="117">
        <f>IF(A4="","",SUMIF('Trade Log'!B:B,A4,'Trade Log'!N:N))</f>
        <v/>
      </c>
      <c r="G4" s="117">
        <f>IF(A4="","",SUM($F$3:F4))</f>
        <v/>
      </c>
    </row>
    <row r="5" ht="15" customHeight="1" s="75">
      <c r="A5" s="146" t="n">
        <v>46086</v>
      </c>
      <c r="B5" s="115">
        <f>IF(A5="","",COUNTIF('Trade Log'!B:B,A5))</f>
        <v/>
      </c>
      <c r="C5" s="115">
        <f>IF(A5="","",COUNTIFS('Trade Log'!B:B,A5,'Trade Log'!Q:Q,"WIN"))</f>
        <v/>
      </c>
      <c r="D5" s="115">
        <f>IF(A5="","",COUNTIFS('Trade Log'!B:B,A5,'Trade Log'!Q:Q,"LOSS"))</f>
        <v/>
      </c>
      <c r="E5" s="116">
        <f>IF(OR(A5="",B5=0),"-",C5/B5)</f>
        <v/>
      </c>
      <c r="F5" s="117">
        <f>IF(A5="","",SUMIF('Trade Log'!B:B,A5,'Trade Log'!N:N))</f>
        <v/>
      </c>
      <c r="G5" s="117">
        <f>IF(A5="","",SUM($F$3:F5))</f>
        <v/>
      </c>
    </row>
    <row r="6" ht="15" customHeight="1" s="75">
      <c r="A6" s="146" t="n"/>
      <c r="B6" s="115">
        <f>IF(A6="","",COUNTIF('Trade Log'!B:B,A6))</f>
        <v/>
      </c>
      <c r="C6" s="115">
        <f>IF(A6="","",COUNTIFS('Trade Log'!B:B,A6,'Trade Log'!Q:Q,"WIN"))</f>
        <v/>
      </c>
      <c r="D6" s="115">
        <f>IF(A6="","",COUNTIFS('Trade Log'!B:B,A6,'Trade Log'!Q:Q,"LOSS"))</f>
        <v/>
      </c>
      <c r="E6" s="116">
        <f>IF(OR(A6="",B6=0),"-",C6/B6)</f>
        <v/>
      </c>
      <c r="F6" s="117">
        <f>IF(A6="","",SUMIF('Trade Log'!B:B,A6,'Trade Log'!N:N))</f>
        <v/>
      </c>
      <c r="G6" s="117">
        <f>IF(A6="","",SUM($F$3:F6))</f>
        <v/>
      </c>
    </row>
    <row r="7" ht="15" customHeight="1" s="75">
      <c r="A7" s="146" t="n"/>
      <c r="B7" s="115">
        <f>IF(A7="","",COUNTIF('Trade Log'!B:B,A7))</f>
        <v/>
      </c>
      <c r="C7" s="115">
        <f>IF(A7="","",COUNTIFS('Trade Log'!B:B,A7,'Trade Log'!Q:Q,"WIN"))</f>
        <v/>
      </c>
      <c r="D7" s="115">
        <f>IF(A7="","",COUNTIFS('Trade Log'!B:B,A7,'Trade Log'!Q:Q,"LOSS"))</f>
        <v/>
      </c>
      <c r="E7" s="116">
        <f>IF(OR(A7="",B7=0),"-",C7/B7)</f>
        <v/>
      </c>
      <c r="F7" s="117">
        <f>IF(A7="","",SUMIF('Trade Log'!B:B,A7,'Trade Log'!N:N))</f>
        <v/>
      </c>
      <c r="G7" s="117">
        <f>IF(A7="","",SUM($F$3:F7))</f>
        <v/>
      </c>
    </row>
    <row r="8" ht="15" customHeight="1" s="75">
      <c r="A8" s="146" t="n"/>
      <c r="B8" s="115">
        <f>IF(A8="","",COUNTIF('Trade Log'!B:B,A8))</f>
        <v/>
      </c>
      <c r="C8" s="115">
        <f>IF(A8="","",COUNTIFS('Trade Log'!B:B,A8,'Trade Log'!Q:Q,"WIN"))</f>
        <v/>
      </c>
      <c r="D8" s="115">
        <f>IF(A8="","",COUNTIFS('Trade Log'!B:B,A8,'Trade Log'!Q:Q,"LOSS"))</f>
        <v/>
      </c>
      <c r="E8" s="116">
        <f>IF(OR(A8="",B8=0),"-",C8/B8)</f>
        <v/>
      </c>
      <c r="F8" s="117">
        <f>IF(A8="","",SUMIF('Trade Log'!B:B,A8,'Trade Log'!N:N))</f>
        <v/>
      </c>
      <c r="G8" s="117">
        <f>IF(A8="","",SUM($F$3:F8))</f>
        <v/>
      </c>
    </row>
    <row r="9" ht="15" customHeight="1" s="75">
      <c r="A9" s="146" t="n"/>
      <c r="B9" s="115">
        <f>IF(A9="","",COUNTIF('Trade Log'!B:B,A9))</f>
        <v/>
      </c>
      <c r="C9" s="115">
        <f>IF(A9="","",COUNTIFS('Trade Log'!B:B,A9,'Trade Log'!Q:Q,"WIN"))</f>
        <v/>
      </c>
      <c r="D9" s="115">
        <f>IF(A9="","",COUNTIFS('Trade Log'!B:B,A9,'Trade Log'!Q:Q,"LOSS"))</f>
        <v/>
      </c>
      <c r="E9" s="116">
        <f>IF(OR(A9="",B9=0),"-",C9/B9)</f>
        <v/>
      </c>
      <c r="F9" s="117">
        <f>IF(A9="","",SUMIF('Trade Log'!B:B,A9,'Trade Log'!N:N))</f>
        <v/>
      </c>
      <c r="G9" s="117">
        <f>IF(A9="","",SUM($F$3:F9))</f>
        <v/>
      </c>
    </row>
    <row r="10" ht="15" customHeight="1" s="75">
      <c r="A10" s="146" t="n"/>
      <c r="B10" s="115">
        <f>IF(A10="","",COUNTIF('Trade Log'!B:B,A10))</f>
        <v/>
      </c>
      <c r="C10" s="115">
        <f>IF(A10="","",COUNTIFS('Trade Log'!B:B,A10,'Trade Log'!Q:Q,"WIN"))</f>
        <v/>
      </c>
      <c r="D10" s="115">
        <f>IF(A10="","",COUNTIFS('Trade Log'!B:B,A10,'Trade Log'!Q:Q,"LOSS"))</f>
        <v/>
      </c>
      <c r="E10" s="116">
        <f>IF(OR(A10="",B10=0),"-",C10/B10)</f>
        <v/>
      </c>
      <c r="F10" s="117">
        <f>IF(A10="","",SUMIF('Trade Log'!B:B,A10,'Trade Log'!N:N))</f>
        <v/>
      </c>
      <c r="G10" s="117">
        <f>IF(A10="","",SUM($F$3:F10))</f>
        <v/>
      </c>
    </row>
    <row r="11" ht="15" customHeight="1" s="75">
      <c r="A11" s="146" t="n"/>
      <c r="B11" s="115">
        <f>IF(A11="","",COUNTIF('Trade Log'!B:B,A11))</f>
        <v/>
      </c>
      <c r="C11" s="115">
        <f>IF(A11="","",COUNTIFS('Trade Log'!B:B,A11,'Trade Log'!Q:Q,"WIN"))</f>
        <v/>
      </c>
      <c r="D11" s="115">
        <f>IF(A11="","",COUNTIFS('Trade Log'!B:B,A11,'Trade Log'!Q:Q,"LOSS"))</f>
        <v/>
      </c>
      <c r="E11" s="116">
        <f>IF(OR(A11="",B11=0),"-",C11/B11)</f>
        <v/>
      </c>
      <c r="F11" s="117">
        <f>IF(A11="","",SUMIF('Trade Log'!B:B,A11,'Trade Log'!N:N))</f>
        <v/>
      </c>
      <c r="G11" s="117">
        <f>IF(A11="","",SUM($F$3:F11))</f>
        <v/>
      </c>
    </row>
    <row r="12" ht="15" customHeight="1" s="75">
      <c r="A12" s="146" t="n"/>
      <c r="B12" s="115">
        <f>IF(A12="","",COUNTIF('Trade Log'!B:B,A12))</f>
        <v/>
      </c>
      <c r="C12" s="115">
        <f>IF(A12="","",COUNTIFS('Trade Log'!B:B,A12,'Trade Log'!Q:Q,"WIN"))</f>
        <v/>
      </c>
      <c r="D12" s="115">
        <f>IF(A12="","",COUNTIFS('Trade Log'!B:B,A12,'Trade Log'!Q:Q,"LOSS"))</f>
        <v/>
      </c>
      <c r="E12" s="116">
        <f>IF(OR(A12="",B12=0),"-",C12/B12)</f>
        <v/>
      </c>
      <c r="F12" s="117">
        <f>IF(A12="","",SUMIF('Trade Log'!B:B,A12,'Trade Log'!N:N))</f>
        <v/>
      </c>
      <c r="G12" s="117">
        <f>IF(A12="","",SUM($F$3:F12))</f>
        <v/>
      </c>
    </row>
    <row r="13" ht="15" customHeight="1" s="75">
      <c r="A13" s="146" t="n"/>
      <c r="B13" s="115">
        <f>IF(A13="","",COUNTIF('Trade Log'!B:B,A13))</f>
        <v/>
      </c>
      <c r="C13" s="115">
        <f>IF(A13="","",COUNTIFS('Trade Log'!B:B,A13,'Trade Log'!Q:Q,"WIN"))</f>
        <v/>
      </c>
      <c r="D13" s="115">
        <f>IF(A13="","",COUNTIFS('Trade Log'!B:B,A13,'Trade Log'!Q:Q,"LOSS"))</f>
        <v/>
      </c>
      <c r="E13" s="116">
        <f>IF(OR(A13="",B13=0),"-",C13/B13)</f>
        <v/>
      </c>
      <c r="F13" s="117">
        <f>IF(A13="","",SUMIF('Trade Log'!B:B,A13,'Trade Log'!N:N))</f>
        <v/>
      </c>
      <c r="G13" s="117">
        <f>IF(A13="","",SUM($F$3:F13))</f>
        <v/>
      </c>
    </row>
    <row r="14" ht="15" customHeight="1" s="75">
      <c r="A14" s="146" t="n"/>
      <c r="B14" s="115">
        <f>IF(A14="","",COUNTIF('Trade Log'!B:B,A14))</f>
        <v/>
      </c>
      <c r="C14" s="115">
        <f>IF(A14="","",COUNTIFS('Trade Log'!B:B,A14,'Trade Log'!Q:Q,"WIN"))</f>
        <v/>
      </c>
      <c r="D14" s="115">
        <f>IF(A14="","",COUNTIFS('Trade Log'!B:B,A14,'Trade Log'!Q:Q,"LOSS"))</f>
        <v/>
      </c>
      <c r="E14" s="116">
        <f>IF(OR(A14="",B14=0),"-",C14/B14)</f>
        <v/>
      </c>
      <c r="F14" s="117">
        <f>IF(A14="","",SUMIF('Trade Log'!B:B,A14,'Trade Log'!N:N))</f>
        <v/>
      </c>
      <c r="G14" s="117">
        <f>IF(A14="","",SUM($F$3:F14))</f>
        <v/>
      </c>
    </row>
    <row r="15" ht="15" customHeight="1" s="75">
      <c r="A15" s="146" t="n"/>
      <c r="B15" s="115">
        <f>IF(A15="","",COUNTIF('Trade Log'!B:B,A15))</f>
        <v/>
      </c>
      <c r="C15" s="115">
        <f>IF(A15="","",COUNTIFS('Trade Log'!B:B,A15,'Trade Log'!Q:Q,"WIN"))</f>
        <v/>
      </c>
      <c r="D15" s="115">
        <f>IF(A15="","",COUNTIFS('Trade Log'!B:B,A15,'Trade Log'!Q:Q,"LOSS"))</f>
        <v/>
      </c>
      <c r="E15" s="116">
        <f>IF(OR(A15="",B15=0),"-",C15/B15)</f>
        <v/>
      </c>
      <c r="F15" s="117">
        <f>IF(A15="","",SUMIF('Trade Log'!B:B,A15,'Trade Log'!N:N))</f>
        <v/>
      </c>
      <c r="G15" s="117">
        <f>IF(A15="","",SUM($F$3:F15))</f>
        <v/>
      </c>
    </row>
    <row r="16" ht="15" customHeight="1" s="75">
      <c r="A16" s="146" t="n"/>
      <c r="B16" s="115">
        <f>IF(A16="","",COUNTIF('Trade Log'!B:B,A16))</f>
        <v/>
      </c>
      <c r="C16" s="115">
        <f>IF(A16="","",COUNTIFS('Trade Log'!B:B,A16,'Trade Log'!Q:Q,"WIN"))</f>
        <v/>
      </c>
      <c r="D16" s="115">
        <f>IF(A16="","",COUNTIFS('Trade Log'!B:B,A16,'Trade Log'!Q:Q,"LOSS"))</f>
        <v/>
      </c>
      <c r="E16" s="116">
        <f>IF(OR(A16="",B16=0),"-",C16/B16)</f>
        <v/>
      </c>
      <c r="F16" s="117">
        <f>IF(A16="","",SUMIF('Trade Log'!B:B,A16,'Trade Log'!N:N))</f>
        <v/>
      </c>
      <c r="G16" s="117">
        <f>IF(A16="","",SUM($F$3:F16))</f>
        <v/>
      </c>
    </row>
    <row r="17" ht="15" customHeight="1" s="75">
      <c r="A17" s="146" t="n"/>
      <c r="B17" s="115">
        <f>IF(A17="","",COUNTIF('Trade Log'!B:B,A17))</f>
        <v/>
      </c>
      <c r="C17" s="115">
        <f>IF(A17="","",COUNTIFS('Trade Log'!B:B,A17,'Trade Log'!Q:Q,"WIN"))</f>
        <v/>
      </c>
      <c r="D17" s="115">
        <f>IF(A17="","",COUNTIFS('Trade Log'!B:B,A17,'Trade Log'!Q:Q,"LOSS"))</f>
        <v/>
      </c>
      <c r="E17" s="116">
        <f>IF(OR(A17="",B17=0),"-",C17/B17)</f>
        <v/>
      </c>
      <c r="F17" s="117">
        <f>IF(A17="","",SUMIF('Trade Log'!B:B,A17,'Trade Log'!N:N))</f>
        <v/>
      </c>
      <c r="G17" s="117">
        <f>IF(A17="","",SUM($F$3:F17))</f>
        <v/>
      </c>
    </row>
    <row r="18" ht="15" customHeight="1" s="75">
      <c r="A18" s="146" t="n"/>
      <c r="B18" s="115">
        <f>IF(A18="","",COUNTIF('Trade Log'!B:B,A18))</f>
        <v/>
      </c>
      <c r="C18" s="115">
        <f>IF(A18="","",COUNTIFS('Trade Log'!B:B,A18,'Trade Log'!Q:Q,"WIN"))</f>
        <v/>
      </c>
      <c r="D18" s="115">
        <f>IF(A18="","",COUNTIFS('Trade Log'!B:B,A18,'Trade Log'!Q:Q,"LOSS"))</f>
        <v/>
      </c>
      <c r="E18" s="116">
        <f>IF(OR(A18="",B18=0),"-",C18/B18)</f>
        <v/>
      </c>
      <c r="F18" s="117">
        <f>IF(A18="","",SUMIF('Trade Log'!B:B,A18,'Trade Log'!N:N))</f>
        <v/>
      </c>
      <c r="G18" s="117">
        <f>IF(A18="","",SUM($F$3:F18))</f>
        <v/>
      </c>
    </row>
    <row r="19" ht="15" customHeight="1" s="75">
      <c r="A19" s="146" t="n"/>
      <c r="B19" s="115">
        <f>IF(A19="","",COUNTIF('Trade Log'!B:B,A19))</f>
        <v/>
      </c>
      <c r="C19" s="115">
        <f>IF(A19="","",COUNTIFS('Trade Log'!B:B,A19,'Trade Log'!Q:Q,"WIN"))</f>
        <v/>
      </c>
      <c r="D19" s="115">
        <f>IF(A19="","",COUNTIFS('Trade Log'!B:B,A19,'Trade Log'!Q:Q,"LOSS"))</f>
        <v/>
      </c>
      <c r="E19" s="116">
        <f>IF(OR(A19="",B19=0),"-",C19/B19)</f>
        <v/>
      </c>
      <c r="F19" s="117">
        <f>IF(A19="","",SUMIF('Trade Log'!B:B,A19,'Trade Log'!N:N))</f>
        <v/>
      </c>
      <c r="G19" s="117">
        <f>IF(A19="","",SUM($F$3:F19))</f>
        <v/>
      </c>
    </row>
    <row r="20" ht="15" customHeight="1" s="75">
      <c r="A20" s="146" t="n"/>
      <c r="B20" s="115">
        <f>IF(A20="","",COUNTIF('Trade Log'!B:B,A20))</f>
        <v/>
      </c>
      <c r="C20" s="115">
        <f>IF(A20="","",COUNTIFS('Trade Log'!B:B,A20,'Trade Log'!Q:Q,"WIN"))</f>
        <v/>
      </c>
      <c r="D20" s="115">
        <f>IF(A20="","",COUNTIFS('Trade Log'!B:B,A20,'Trade Log'!Q:Q,"LOSS"))</f>
        <v/>
      </c>
      <c r="E20" s="116">
        <f>IF(OR(A20="",B20=0),"-",C20/B20)</f>
        <v/>
      </c>
      <c r="F20" s="117">
        <f>IF(A20="","",SUMIF('Trade Log'!B:B,A20,'Trade Log'!N:N))</f>
        <v/>
      </c>
      <c r="G20" s="117">
        <f>IF(A20="","",SUM($F$3:F20))</f>
        <v/>
      </c>
    </row>
    <row r="21" ht="15" customHeight="1" s="75">
      <c r="A21" s="146" t="n"/>
      <c r="B21" s="115">
        <f>IF(A21="","",COUNTIF('Trade Log'!B:B,A21))</f>
        <v/>
      </c>
      <c r="C21" s="115">
        <f>IF(A21="","",COUNTIFS('Trade Log'!B:B,A21,'Trade Log'!Q:Q,"WIN"))</f>
        <v/>
      </c>
      <c r="D21" s="115">
        <f>IF(A21="","",COUNTIFS('Trade Log'!B:B,A21,'Trade Log'!Q:Q,"LOSS"))</f>
        <v/>
      </c>
      <c r="E21" s="116">
        <f>IF(OR(A21="",B21=0),"-",C21/B21)</f>
        <v/>
      </c>
      <c r="F21" s="117">
        <f>IF(A21="","",SUMIF('Trade Log'!B:B,A21,'Trade Log'!N:N))</f>
        <v/>
      </c>
      <c r="G21" s="117">
        <f>IF(A21="","",SUM($F$3:F21))</f>
        <v/>
      </c>
    </row>
    <row r="22" ht="15" customHeight="1" s="75">
      <c r="A22" s="146" t="n"/>
      <c r="B22" s="115">
        <f>IF(A22="","",COUNTIF('Trade Log'!B:B,A22))</f>
        <v/>
      </c>
      <c r="C22" s="115">
        <f>IF(A22="","",COUNTIFS('Trade Log'!B:B,A22,'Trade Log'!Q:Q,"WIN"))</f>
        <v/>
      </c>
      <c r="D22" s="115">
        <f>IF(A22="","",COUNTIFS('Trade Log'!B:B,A22,'Trade Log'!Q:Q,"LOSS"))</f>
        <v/>
      </c>
      <c r="E22" s="116">
        <f>IF(OR(A22="",B22=0),"-",C22/B22)</f>
        <v/>
      </c>
      <c r="F22" s="117">
        <f>IF(A22="","",SUMIF('Trade Log'!B:B,A22,'Trade Log'!N:N))</f>
        <v/>
      </c>
      <c r="G22" s="117">
        <f>IF(A22="","",SUM($F$3:F22))</f>
        <v/>
      </c>
    </row>
    <row r="23" ht="15" customHeight="1" s="75">
      <c r="A23" s="146" t="n"/>
      <c r="B23" s="115">
        <f>IF(A23="","",COUNTIF('Trade Log'!B:B,A23))</f>
        <v/>
      </c>
      <c r="C23" s="115">
        <f>IF(A23="","",COUNTIFS('Trade Log'!B:B,A23,'Trade Log'!Q:Q,"WIN"))</f>
        <v/>
      </c>
      <c r="D23" s="115">
        <f>IF(A23="","",COUNTIFS('Trade Log'!B:B,A23,'Trade Log'!Q:Q,"LOSS"))</f>
        <v/>
      </c>
      <c r="E23" s="116">
        <f>IF(OR(A23="",B23=0),"-",C23/B23)</f>
        <v/>
      </c>
      <c r="F23" s="117">
        <f>IF(A23="","",SUMIF('Trade Log'!B:B,A23,'Trade Log'!N:N))</f>
        <v/>
      </c>
      <c r="G23" s="117">
        <f>IF(A23="","",SUM($F$3:F23))</f>
        <v/>
      </c>
    </row>
    <row r="24" ht="15" customHeight="1" s="75">
      <c r="A24" s="146" t="n"/>
      <c r="B24" s="115">
        <f>IF(A24="","",COUNTIF('Trade Log'!B:B,A24))</f>
        <v/>
      </c>
      <c r="C24" s="115">
        <f>IF(A24="","",COUNTIFS('Trade Log'!B:B,A24,'Trade Log'!Q:Q,"WIN"))</f>
        <v/>
      </c>
      <c r="D24" s="115">
        <f>IF(A24="","",COUNTIFS('Trade Log'!B:B,A24,'Trade Log'!Q:Q,"LOSS"))</f>
        <v/>
      </c>
      <c r="E24" s="116">
        <f>IF(OR(A24="",B24=0),"-",C24/B24)</f>
        <v/>
      </c>
      <c r="F24" s="117">
        <f>IF(A24="","",SUMIF('Trade Log'!B:B,A24,'Trade Log'!N:N))</f>
        <v/>
      </c>
      <c r="G24" s="117">
        <f>IF(A24="","",SUM($F$3:F24))</f>
        <v/>
      </c>
    </row>
    <row r="25" ht="15" customHeight="1" s="75">
      <c r="A25" s="146" t="n"/>
      <c r="B25" s="115">
        <f>IF(A25="","",COUNTIF('Trade Log'!B:B,A25))</f>
        <v/>
      </c>
      <c r="C25" s="115">
        <f>IF(A25="","",COUNTIFS('Trade Log'!B:B,A25,'Trade Log'!Q:Q,"WIN"))</f>
        <v/>
      </c>
      <c r="D25" s="115">
        <f>IF(A25="","",COUNTIFS('Trade Log'!B:B,A25,'Trade Log'!Q:Q,"LOSS"))</f>
        <v/>
      </c>
      <c r="E25" s="116">
        <f>IF(OR(A25="",B25=0),"-",C25/B25)</f>
        <v/>
      </c>
      <c r="F25" s="117">
        <f>IF(A25="","",SUMIF('Trade Log'!B:B,A25,'Trade Log'!N:N))</f>
        <v/>
      </c>
      <c r="G25" s="117">
        <f>IF(A25="","",SUM($F$3:F25))</f>
        <v/>
      </c>
    </row>
    <row r="26" ht="15" customHeight="1" s="75">
      <c r="A26" s="146" t="n"/>
      <c r="B26" s="115">
        <f>IF(A26="","",COUNTIF('Trade Log'!B:B,A26))</f>
        <v/>
      </c>
      <c r="C26" s="115">
        <f>IF(A26="","",COUNTIFS('Trade Log'!B:B,A26,'Trade Log'!Q:Q,"WIN"))</f>
        <v/>
      </c>
      <c r="D26" s="115">
        <f>IF(A26="","",COUNTIFS('Trade Log'!B:B,A26,'Trade Log'!Q:Q,"LOSS"))</f>
        <v/>
      </c>
      <c r="E26" s="116">
        <f>IF(OR(A26="",B26=0),"-",C26/B26)</f>
        <v/>
      </c>
      <c r="F26" s="117">
        <f>IF(A26="","",SUMIF('Trade Log'!B:B,A26,'Trade Log'!N:N))</f>
        <v/>
      </c>
      <c r="G26" s="117">
        <f>IF(A26="","",SUM($F$3:F26))</f>
        <v/>
      </c>
    </row>
    <row r="27" ht="15" customHeight="1" s="75">
      <c r="A27" s="146" t="n"/>
      <c r="B27" s="115">
        <f>IF(A27="","",COUNTIF('Trade Log'!B:B,A27))</f>
        <v/>
      </c>
      <c r="C27" s="115">
        <f>IF(A27="","",COUNTIFS('Trade Log'!B:B,A27,'Trade Log'!Q:Q,"WIN"))</f>
        <v/>
      </c>
      <c r="D27" s="115">
        <f>IF(A27="","",COUNTIFS('Trade Log'!B:B,A27,'Trade Log'!Q:Q,"LOSS"))</f>
        <v/>
      </c>
      <c r="E27" s="116">
        <f>IF(OR(A27="",B27=0),"-",C27/B27)</f>
        <v/>
      </c>
      <c r="F27" s="117">
        <f>IF(A27="","",SUMIF('Trade Log'!B:B,A27,'Trade Log'!N:N))</f>
        <v/>
      </c>
      <c r="G27" s="117">
        <f>IF(A27="","",SUM($F$3:F27))</f>
        <v/>
      </c>
    </row>
    <row r="28" ht="15" customHeight="1" s="75">
      <c r="A28" s="146" t="n"/>
      <c r="B28" s="115">
        <f>IF(A28="","",COUNTIF('Trade Log'!B:B,A28))</f>
        <v/>
      </c>
      <c r="C28" s="115">
        <f>IF(A28="","",COUNTIFS('Trade Log'!B:B,A28,'Trade Log'!Q:Q,"WIN"))</f>
        <v/>
      </c>
      <c r="D28" s="115">
        <f>IF(A28="","",COUNTIFS('Trade Log'!B:B,A28,'Trade Log'!Q:Q,"LOSS"))</f>
        <v/>
      </c>
      <c r="E28" s="116">
        <f>IF(OR(A28="",B28=0),"-",C28/B28)</f>
        <v/>
      </c>
      <c r="F28" s="117">
        <f>IF(A28="","",SUMIF('Trade Log'!B:B,A28,'Trade Log'!N:N))</f>
        <v/>
      </c>
      <c r="G28" s="117">
        <f>IF(A28="","",SUM($F$3:F28))</f>
        <v/>
      </c>
    </row>
    <row r="29" ht="15" customHeight="1" s="75">
      <c r="A29" s="146" t="n"/>
      <c r="B29" s="115">
        <f>IF(A29="","",COUNTIF('Trade Log'!B:B,A29))</f>
        <v/>
      </c>
      <c r="C29" s="115">
        <f>IF(A29="","",COUNTIFS('Trade Log'!B:B,A29,'Trade Log'!Q:Q,"WIN"))</f>
        <v/>
      </c>
      <c r="D29" s="115">
        <f>IF(A29="","",COUNTIFS('Trade Log'!B:B,A29,'Trade Log'!Q:Q,"LOSS"))</f>
        <v/>
      </c>
      <c r="E29" s="116">
        <f>IF(OR(A29="",B29=0),"-",C29/B29)</f>
        <v/>
      </c>
      <c r="F29" s="117">
        <f>IF(A29="","",SUMIF('Trade Log'!B:B,A29,'Trade Log'!N:N))</f>
        <v/>
      </c>
      <c r="G29" s="117">
        <f>IF(A29="","",SUM($F$3:F29))</f>
        <v/>
      </c>
    </row>
    <row r="30" ht="15" customHeight="1" s="75">
      <c r="A30" s="146" t="n"/>
      <c r="B30" s="115">
        <f>IF(A30="","",COUNTIF('Trade Log'!B:B,A30))</f>
        <v/>
      </c>
      <c r="C30" s="115">
        <f>IF(A30="","",COUNTIFS('Trade Log'!B:B,A30,'Trade Log'!Q:Q,"WIN"))</f>
        <v/>
      </c>
      <c r="D30" s="115">
        <f>IF(A30="","",COUNTIFS('Trade Log'!B:B,A30,'Trade Log'!Q:Q,"LOSS"))</f>
        <v/>
      </c>
      <c r="E30" s="116">
        <f>IF(OR(A30="",B30=0),"-",C30/B30)</f>
        <v/>
      </c>
      <c r="F30" s="117">
        <f>IF(A30="","",SUMIF('Trade Log'!B:B,A30,'Trade Log'!N:N))</f>
        <v/>
      </c>
      <c r="G30" s="117">
        <f>IF(A30="","",SUM($F$3:F30))</f>
        <v/>
      </c>
    </row>
    <row r="31" ht="15" customHeight="1" s="75">
      <c r="A31" s="146" t="n"/>
      <c r="B31" s="115">
        <f>IF(A31="","",COUNTIF('Trade Log'!B:B,A31))</f>
        <v/>
      </c>
      <c r="C31" s="115">
        <f>IF(A31="","",COUNTIFS('Trade Log'!B:B,A31,'Trade Log'!Q:Q,"WIN"))</f>
        <v/>
      </c>
      <c r="D31" s="115">
        <f>IF(A31="","",COUNTIFS('Trade Log'!B:B,A31,'Trade Log'!Q:Q,"LOSS"))</f>
        <v/>
      </c>
      <c r="E31" s="116">
        <f>IF(OR(A31="",B31=0),"-",C31/B31)</f>
        <v/>
      </c>
      <c r="F31" s="117">
        <f>IF(A31="","",SUMIF('Trade Log'!B:B,A31,'Trade Log'!N:N))</f>
        <v/>
      </c>
      <c r="G31" s="117">
        <f>IF(A31="","",SUM($F$3:F31))</f>
        <v/>
      </c>
    </row>
    <row r="32" ht="15" customHeight="1" s="75">
      <c r="A32" s="146" t="n"/>
      <c r="B32" s="115">
        <f>IF(A32="","",COUNTIF('Trade Log'!B:B,A32))</f>
        <v/>
      </c>
      <c r="C32" s="115">
        <f>IF(A32="","",COUNTIFS('Trade Log'!B:B,A32,'Trade Log'!Q:Q,"WIN"))</f>
        <v/>
      </c>
      <c r="D32" s="115">
        <f>IF(A32="","",COUNTIFS('Trade Log'!B:B,A32,'Trade Log'!Q:Q,"LOSS"))</f>
        <v/>
      </c>
      <c r="E32" s="116">
        <f>IF(OR(A32="",B32=0),"-",C32/B32)</f>
        <v/>
      </c>
      <c r="F32" s="117">
        <f>IF(A32="","",SUMIF('Trade Log'!B:B,A32,'Trade Log'!N:N))</f>
        <v/>
      </c>
      <c r="G32" s="117">
        <f>IF(A32="","",SUM($F$3:F32))</f>
        <v/>
      </c>
    </row>
    <row r="33" ht="15" customHeight="1" s="75">
      <c r="A33" s="146" t="n"/>
      <c r="B33" s="115">
        <f>IF(A33="","",COUNTIF('Trade Log'!B:B,A33))</f>
        <v/>
      </c>
      <c r="C33" s="115">
        <f>IF(A33="","",COUNTIFS('Trade Log'!B:B,A33,'Trade Log'!Q:Q,"WIN"))</f>
        <v/>
      </c>
      <c r="D33" s="115">
        <f>IF(A33="","",COUNTIFS('Trade Log'!B:B,A33,'Trade Log'!Q:Q,"LOSS"))</f>
        <v/>
      </c>
      <c r="E33" s="116">
        <f>IF(OR(A33="",B33=0),"-",C33/B33)</f>
        <v/>
      </c>
      <c r="F33" s="117">
        <f>IF(A33="","",SUMIF('Trade Log'!B:B,A33,'Trade Log'!N:N))</f>
        <v/>
      </c>
      <c r="G33" s="117">
        <f>IF(A33="","",SUM($F$3:F33))</f>
        <v/>
      </c>
    </row>
    <row r="34" ht="15" customHeight="1" s="75">
      <c r="A34" s="146" t="n"/>
      <c r="B34" s="115">
        <f>IF(A34="","",COUNTIF('Trade Log'!B:B,A34))</f>
        <v/>
      </c>
      <c r="C34" s="115">
        <f>IF(A34="","",COUNTIFS('Trade Log'!B:B,A34,'Trade Log'!Q:Q,"WIN"))</f>
        <v/>
      </c>
      <c r="D34" s="115">
        <f>IF(A34="","",COUNTIFS('Trade Log'!B:B,A34,'Trade Log'!Q:Q,"LOSS"))</f>
        <v/>
      </c>
      <c r="E34" s="116">
        <f>IF(OR(A34="",B34=0),"-",C34/B34)</f>
        <v/>
      </c>
      <c r="F34" s="117">
        <f>IF(A34="","",SUMIF('Trade Log'!B:B,A34,'Trade Log'!N:N))</f>
        <v/>
      </c>
      <c r="G34" s="117">
        <f>IF(A34="","",SUM($F$3:F34))</f>
        <v/>
      </c>
    </row>
    <row r="35" ht="15" customHeight="1" s="75">
      <c r="A35" s="146" t="n"/>
      <c r="B35" s="115">
        <f>IF(A35="","",COUNTIF('Trade Log'!B:B,A35))</f>
        <v/>
      </c>
      <c r="C35" s="115">
        <f>IF(A35="","",COUNTIFS('Trade Log'!B:B,A35,'Trade Log'!Q:Q,"WIN"))</f>
        <v/>
      </c>
      <c r="D35" s="115">
        <f>IF(A35="","",COUNTIFS('Trade Log'!B:B,A35,'Trade Log'!Q:Q,"LOSS"))</f>
        <v/>
      </c>
      <c r="E35" s="116">
        <f>IF(OR(A35="",B35=0),"-",C35/B35)</f>
        <v/>
      </c>
      <c r="F35" s="117">
        <f>IF(A35="","",SUMIF('Trade Log'!B:B,A35,'Trade Log'!N:N))</f>
        <v/>
      </c>
      <c r="G35" s="117">
        <f>IF(A35="","",SUM($F$3:F35))</f>
        <v/>
      </c>
    </row>
    <row r="36" ht="15" customHeight="1" s="75">
      <c r="A36" s="146" t="n"/>
      <c r="B36" s="115">
        <f>IF(A36="","",COUNTIF('Trade Log'!B:B,A36))</f>
        <v/>
      </c>
      <c r="C36" s="115">
        <f>IF(A36="","",COUNTIFS('Trade Log'!B:B,A36,'Trade Log'!Q:Q,"WIN"))</f>
        <v/>
      </c>
      <c r="D36" s="115">
        <f>IF(A36="","",COUNTIFS('Trade Log'!B:B,A36,'Trade Log'!Q:Q,"LOSS"))</f>
        <v/>
      </c>
      <c r="E36" s="116">
        <f>IF(OR(A36="",B36=0),"-",C36/B36)</f>
        <v/>
      </c>
      <c r="F36" s="117">
        <f>IF(A36="","",SUMIF('Trade Log'!B:B,A36,'Trade Log'!N:N))</f>
        <v/>
      </c>
      <c r="G36" s="117">
        <f>IF(A36="","",SUM($F$3:F36))</f>
        <v/>
      </c>
    </row>
    <row r="37" ht="15" customHeight="1" s="75">
      <c r="A37" s="146" t="n"/>
      <c r="B37" s="115">
        <f>IF(A37="","",COUNTIF('Trade Log'!B:B,A37))</f>
        <v/>
      </c>
      <c r="C37" s="115">
        <f>IF(A37="","",COUNTIFS('Trade Log'!B:B,A37,'Trade Log'!Q:Q,"WIN"))</f>
        <v/>
      </c>
      <c r="D37" s="115">
        <f>IF(A37="","",COUNTIFS('Trade Log'!B:B,A37,'Trade Log'!Q:Q,"LOSS"))</f>
        <v/>
      </c>
      <c r="E37" s="116">
        <f>IF(OR(A37="",B37=0),"-",C37/B37)</f>
        <v/>
      </c>
      <c r="F37" s="117">
        <f>IF(A37="","",SUMIF('Trade Log'!B:B,A37,'Trade Log'!N:N))</f>
        <v/>
      </c>
      <c r="G37" s="117">
        <f>IF(A37="","",SUM($F$3:F37))</f>
        <v/>
      </c>
    </row>
    <row r="38" ht="15" customHeight="1" s="75">
      <c r="A38" s="146" t="n"/>
      <c r="B38" s="115">
        <f>IF(A38="","",COUNTIF('Trade Log'!B:B,A38))</f>
        <v/>
      </c>
      <c r="C38" s="115">
        <f>IF(A38="","",COUNTIFS('Trade Log'!B:B,A38,'Trade Log'!Q:Q,"WIN"))</f>
        <v/>
      </c>
      <c r="D38" s="115">
        <f>IF(A38="","",COUNTIFS('Trade Log'!B:B,A38,'Trade Log'!Q:Q,"LOSS"))</f>
        <v/>
      </c>
      <c r="E38" s="116">
        <f>IF(OR(A38="",B38=0),"-",C38/B38)</f>
        <v/>
      </c>
      <c r="F38" s="117">
        <f>IF(A38="","",SUMIF('Trade Log'!B:B,A38,'Trade Log'!N:N))</f>
        <v/>
      </c>
      <c r="G38" s="117">
        <f>IF(A38="","",SUM($F$3:F38))</f>
        <v/>
      </c>
    </row>
    <row r="39" ht="15" customHeight="1" s="75">
      <c r="A39" s="146" t="n"/>
      <c r="B39" s="115">
        <f>IF(A39="","",COUNTIF('Trade Log'!B:B,A39))</f>
        <v/>
      </c>
      <c r="C39" s="115">
        <f>IF(A39="","",COUNTIFS('Trade Log'!B:B,A39,'Trade Log'!Q:Q,"WIN"))</f>
        <v/>
      </c>
      <c r="D39" s="115">
        <f>IF(A39="","",COUNTIFS('Trade Log'!B:B,A39,'Trade Log'!Q:Q,"LOSS"))</f>
        <v/>
      </c>
      <c r="E39" s="116">
        <f>IF(OR(A39="",B39=0),"-",C39/B39)</f>
        <v/>
      </c>
      <c r="F39" s="117">
        <f>IF(A39="","",SUMIF('Trade Log'!B:B,A39,'Trade Log'!N:N))</f>
        <v/>
      </c>
      <c r="G39" s="117">
        <f>IF(A39="","",SUM($F$3:F39))</f>
        <v/>
      </c>
    </row>
    <row r="40" ht="15" customHeight="1" s="75">
      <c r="A40" s="146" t="n"/>
      <c r="B40" s="115">
        <f>IF(A40="","",COUNTIF('Trade Log'!B:B,A40))</f>
        <v/>
      </c>
      <c r="C40" s="115">
        <f>IF(A40="","",COUNTIFS('Trade Log'!B:B,A40,'Trade Log'!Q:Q,"WIN"))</f>
        <v/>
      </c>
      <c r="D40" s="115">
        <f>IF(A40="","",COUNTIFS('Trade Log'!B:B,A40,'Trade Log'!Q:Q,"LOSS"))</f>
        <v/>
      </c>
      <c r="E40" s="116">
        <f>IF(OR(A40="",B40=0),"-",C40/B40)</f>
        <v/>
      </c>
      <c r="F40" s="117">
        <f>IF(A40="","",SUMIF('Trade Log'!B:B,A40,'Trade Log'!N:N))</f>
        <v/>
      </c>
      <c r="G40" s="117">
        <f>IF(A40="","",SUM($F$3:F40))</f>
        <v/>
      </c>
    </row>
    <row r="41" ht="15" customHeight="1" s="75">
      <c r="A41" s="146" t="n"/>
      <c r="B41" s="115">
        <f>IF(A41="","",COUNTIF('Trade Log'!B:B,A41))</f>
        <v/>
      </c>
      <c r="C41" s="115">
        <f>IF(A41="","",COUNTIFS('Trade Log'!B:B,A41,'Trade Log'!Q:Q,"WIN"))</f>
        <v/>
      </c>
      <c r="D41" s="115">
        <f>IF(A41="","",COUNTIFS('Trade Log'!B:B,A41,'Trade Log'!Q:Q,"LOSS"))</f>
        <v/>
      </c>
      <c r="E41" s="116">
        <f>IF(OR(A41="",B41=0),"-",C41/B41)</f>
        <v/>
      </c>
      <c r="F41" s="117">
        <f>IF(A41="","",SUMIF('Trade Log'!B:B,A41,'Trade Log'!N:N))</f>
        <v/>
      </c>
      <c r="G41" s="117">
        <f>IF(A41="","",SUM($F$3:F41))</f>
        <v/>
      </c>
    </row>
    <row r="42" ht="15" customHeight="1" s="75">
      <c r="A42" s="146" t="n"/>
      <c r="B42" s="115">
        <f>IF(A42="","",COUNTIF('Trade Log'!B:B,A42))</f>
        <v/>
      </c>
      <c r="C42" s="115">
        <f>IF(A42="","",COUNTIFS('Trade Log'!B:B,A42,'Trade Log'!Q:Q,"WIN"))</f>
        <v/>
      </c>
      <c r="D42" s="115">
        <f>IF(A42="","",COUNTIFS('Trade Log'!B:B,A42,'Trade Log'!Q:Q,"LOSS"))</f>
        <v/>
      </c>
      <c r="E42" s="116">
        <f>IF(OR(A42="",B42=0),"-",C42/B42)</f>
        <v/>
      </c>
      <c r="F42" s="117">
        <f>IF(A42="","",SUMIF('Trade Log'!B:B,A42,'Trade Log'!N:N))</f>
        <v/>
      </c>
      <c r="G42" s="117">
        <f>IF(A42="","",SUM($F$3:F42))</f>
        <v/>
      </c>
    </row>
    <row r="43" ht="15" customHeight="1" s="75">
      <c r="A43" s="146" t="n"/>
      <c r="B43" s="115">
        <f>IF(A43="","",COUNTIF('Trade Log'!B:B,A43))</f>
        <v/>
      </c>
      <c r="C43" s="115">
        <f>IF(A43="","",COUNTIFS('Trade Log'!B:B,A43,'Trade Log'!Q:Q,"WIN"))</f>
        <v/>
      </c>
      <c r="D43" s="115">
        <f>IF(A43="","",COUNTIFS('Trade Log'!B:B,A43,'Trade Log'!Q:Q,"LOSS"))</f>
        <v/>
      </c>
      <c r="E43" s="116">
        <f>IF(OR(A43="",B43=0),"-",C43/B43)</f>
        <v/>
      </c>
      <c r="F43" s="117">
        <f>IF(A43="","",SUMIF('Trade Log'!B:B,A43,'Trade Log'!N:N))</f>
        <v/>
      </c>
      <c r="G43" s="117">
        <f>IF(A43="","",SUM($F$3:F43))</f>
        <v/>
      </c>
    </row>
    <row r="44" ht="15" customHeight="1" s="75">
      <c r="A44" s="146" t="n"/>
      <c r="B44" s="115">
        <f>IF(A44="","",COUNTIF('Trade Log'!B:B,A44))</f>
        <v/>
      </c>
      <c r="C44" s="115">
        <f>IF(A44="","",COUNTIFS('Trade Log'!B:B,A44,'Trade Log'!Q:Q,"WIN"))</f>
        <v/>
      </c>
      <c r="D44" s="115">
        <f>IF(A44="","",COUNTIFS('Trade Log'!B:B,A44,'Trade Log'!Q:Q,"LOSS"))</f>
        <v/>
      </c>
      <c r="E44" s="116">
        <f>IF(OR(A44="",B44=0),"-",C44/B44)</f>
        <v/>
      </c>
      <c r="F44" s="117">
        <f>IF(A44="","",SUMIF('Trade Log'!B:B,A44,'Trade Log'!N:N))</f>
        <v/>
      </c>
      <c r="G44" s="117">
        <f>IF(A44="","",SUM($F$3:F44))</f>
        <v/>
      </c>
    </row>
    <row r="45" ht="15" customHeight="1" s="75">
      <c r="A45" s="146" t="n"/>
      <c r="B45" s="115">
        <f>IF(A45="","",COUNTIF('Trade Log'!B:B,A45))</f>
        <v/>
      </c>
      <c r="C45" s="115">
        <f>IF(A45="","",COUNTIFS('Trade Log'!B:B,A45,'Trade Log'!Q:Q,"WIN"))</f>
        <v/>
      </c>
      <c r="D45" s="115">
        <f>IF(A45="","",COUNTIFS('Trade Log'!B:B,A45,'Trade Log'!Q:Q,"LOSS"))</f>
        <v/>
      </c>
      <c r="E45" s="116">
        <f>IF(OR(A45="",B45=0),"-",C45/B45)</f>
        <v/>
      </c>
      <c r="F45" s="117">
        <f>IF(A45="","",SUMIF('Trade Log'!B:B,A45,'Trade Log'!N:N))</f>
        <v/>
      </c>
      <c r="G45" s="117">
        <f>IF(A45="","",SUM($F$3:F45))</f>
        <v/>
      </c>
    </row>
    <row r="46" ht="15" customHeight="1" s="75">
      <c r="A46" s="146" t="n"/>
      <c r="B46" s="115">
        <f>IF(A46="","",COUNTIF('Trade Log'!B:B,A46))</f>
        <v/>
      </c>
      <c r="C46" s="115">
        <f>IF(A46="","",COUNTIFS('Trade Log'!B:B,A46,'Trade Log'!Q:Q,"WIN"))</f>
        <v/>
      </c>
      <c r="D46" s="115">
        <f>IF(A46="","",COUNTIFS('Trade Log'!B:B,A46,'Trade Log'!Q:Q,"LOSS"))</f>
        <v/>
      </c>
      <c r="E46" s="116">
        <f>IF(OR(A46="",B46=0),"-",C46/B46)</f>
        <v/>
      </c>
      <c r="F46" s="117">
        <f>IF(A46="","",SUMIF('Trade Log'!B:B,A46,'Trade Log'!N:N))</f>
        <v/>
      </c>
      <c r="G46" s="117">
        <f>IF(A46="","",SUM($F$3:F46))</f>
        <v/>
      </c>
    </row>
    <row r="47" ht="15" customHeight="1" s="75">
      <c r="A47" s="146" t="n"/>
      <c r="B47" s="115">
        <f>IF(A47="","",COUNTIF('Trade Log'!B:B,A47))</f>
        <v/>
      </c>
      <c r="C47" s="115">
        <f>IF(A47="","",COUNTIFS('Trade Log'!B:B,A47,'Trade Log'!Q:Q,"WIN"))</f>
        <v/>
      </c>
      <c r="D47" s="115">
        <f>IF(A47="","",COUNTIFS('Trade Log'!B:B,A47,'Trade Log'!Q:Q,"LOSS"))</f>
        <v/>
      </c>
      <c r="E47" s="116">
        <f>IF(OR(A47="",B47=0),"-",C47/B47)</f>
        <v/>
      </c>
      <c r="F47" s="117">
        <f>IF(A47="","",SUMIF('Trade Log'!B:B,A47,'Trade Log'!N:N))</f>
        <v/>
      </c>
      <c r="G47" s="117">
        <f>IF(A47="","",SUM($F$3:F47))</f>
        <v/>
      </c>
    </row>
    <row r="48" ht="15" customHeight="1" s="75">
      <c r="A48" s="146" t="n"/>
      <c r="B48" s="115">
        <f>IF(A48="","",COUNTIF('Trade Log'!B:B,A48))</f>
        <v/>
      </c>
      <c r="C48" s="115">
        <f>IF(A48="","",COUNTIFS('Trade Log'!B:B,A48,'Trade Log'!Q:Q,"WIN"))</f>
        <v/>
      </c>
      <c r="D48" s="115">
        <f>IF(A48="","",COUNTIFS('Trade Log'!B:B,A48,'Trade Log'!Q:Q,"LOSS"))</f>
        <v/>
      </c>
      <c r="E48" s="116">
        <f>IF(OR(A48="",B48=0),"-",C48/B48)</f>
        <v/>
      </c>
      <c r="F48" s="117">
        <f>IF(A48="","",SUMIF('Trade Log'!B:B,A48,'Trade Log'!N:N))</f>
        <v/>
      </c>
      <c r="G48" s="117">
        <f>IF(A48="","",SUM($F$3:F48))</f>
        <v/>
      </c>
    </row>
    <row r="49" ht="15" customHeight="1" s="75">
      <c r="A49" s="146" t="n"/>
      <c r="B49" s="115">
        <f>IF(A49="","",COUNTIF('Trade Log'!B:B,A49))</f>
        <v/>
      </c>
      <c r="C49" s="115">
        <f>IF(A49="","",COUNTIFS('Trade Log'!B:B,A49,'Trade Log'!Q:Q,"WIN"))</f>
        <v/>
      </c>
      <c r="D49" s="115">
        <f>IF(A49="","",COUNTIFS('Trade Log'!B:B,A49,'Trade Log'!Q:Q,"LOSS"))</f>
        <v/>
      </c>
      <c r="E49" s="116">
        <f>IF(OR(A49="",B49=0),"-",C49/B49)</f>
        <v/>
      </c>
      <c r="F49" s="117">
        <f>IF(A49="","",SUMIF('Trade Log'!B:B,A49,'Trade Log'!N:N))</f>
        <v/>
      </c>
      <c r="G49" s="117">
        <f>IF(A49="","",SUM($F$3:F49))</f>
        <v/>
      </c>
    </row>
    <row r="50" ht="15" customHeight="1" s="75">
      <c r="A50" s="146" t="n"/>
      <c r="B50" s="115">
        <f>IF(A50="","",COUNTIF('Trade Log'!B:B,A50))</f>
        <v/>
      </c>
      <c r="C50" s="115">
        <f>IF(A50="","",COUNTIFS('Trade Log'!B:B,A50,'Trade Log'!Q:Q,"WIN"))</f>
        <v/>
      </c>
      <c r="D50" s="115">
        <f>IF(A50="","",COUNTIFS('Trade Log'!B:B,A50,'Trade Log'!Q:Q,"LOSS"))</f>
        <v/>
      </c>
      <c r="E50" s="116">
        <f>IF(OR(A50="",B50=0),"-",C50/B50)</f>
        <v/>
      </c>
      <c r="F50" s="117">
        <f>IF(A50="","",SUMIF('Trade Log'!B:B,A50,'Trade Log'!N:N))</f>
        <v/>
      </c>
      <c r="G50" s="117">
        <f>IF(A50="","",SUM($F$3:F50))</f>
        <v/>
      </c>
    </row>
    <row r="51" ht="15" customHeight="1" s="75">
      <c r="A51" s="146" t="n"/>
      <c r="B51" s="115">
        <f>IF(A51="","",COUNTIF('Trade Log'!B:B,A51))</f>
        <v/>
      </c>
      <c r="C51" s="115">
        <f>IF(A51="","",COUNTIFS('Trade Log'!B:B,A51,'Trade Log'!Q:Q,"WIN"))</f>
        <v/>
      </c>
      <c r="D51" s="115">
        <f>IF(A51="","",COUNTIFS('Trade Log'!B:B,A51,'Trade Log'!Q:Q,"LOSS"))</f>
        <v/>
      </c>
      <c r="E51" s="116">
        <f>IF(OR(A51="",B51=0),"-",C51/B51)</f>
        <v/>
      </c>
      <c r="F51" s="117">
        <f>IF(A51="","",SUMIF('Trade Log'!B:B,A51,'Trade Log'!N:N))</f>
        <v/>
      </c>
      <c r="G51" s="117">
        <f>IF(A51="","",SUM($F$3:F51))</f>
        <v/>
      </c>
    </row>
    <row r="52" ht="15" customHeight="1" s="75">
      <c r="A52" s="146" t="n"/>
      <c r="B52" s="115">
        <f>IF(A52="","",COUNTIF('Trade Log'!B:B,A52))</f>
        <v/>
      </c>
      <c r="C52" s="115">
        <f>IF(A52="","",COUNTIFS('Trade Log'!B:B,A52,'Trade Log'!Q:Q,"WIN"))</f>
        <v/>
      </c>
      <c r="D52" s="115">
        <f>IF(A52="","",COUNTIFS('Trade Log'!B:B,A52,'Trade Log'!Q:Q,"LOSS"))</f>
        <v/>
      </c>
      <c r="E52" s="116">
        <f>IF(OR(A52="",B52=0),"-",C52/B52)</f>
        <v/>
      </c>
      <c r="F52" s="117">
        <f>IF(A52="","",SUMIF('Trade Log'!B:B,A52,'Trade Log'!N:N))</f>
        <v/>
      </c>
      <c r="G52" s="117">
        <f>IF(A52="","",SUM($F$3:F52))</f>
        <v/>
      </c>
    </row>
    <row r="53" ht="15" customHeight="1" s="75">
      <c r="A53" s="146" t="n"/>
      <c r="B53" s="115">
        <f>IF(A53="","",COUNTIF('Trade Log'!B:B,A53))</f>
        <v/>
      </c>
      <c r="C53" s="115">
        <f>IF(A53="","",COUNTIFS('Trade Log'!B:B,A53,'Trade Log'!Q:Q,"WIN"))</f>
        <v/>
      </c>
      <c r="D53" s="115">
        <f>IF(A53="","",COUNTIFS('Trade Log'!B:B,A53,'Trade Log'!Q:Q,"LOSS"))</f>
        <v/>
      </c>
      <c r="E53" s="116">
        <f>IF(OR(A53="",B53=0),"-",C53/B53)</f>
        <v/>
      </c>
      <c r="F53" s="117">
        <f>IF(A53="","",SUMIF('Trade Log'!B:B,A53,'Trade Log'!N:N))</f>
        <v/>
      </c>
      <c r="G53" s="117">
        <f>IF(A53="","",SUM($F$3:F53))</f>
        <v/>
      </c>
    </row>
    <row r="54" ht="15" customHeight="1" s="75">
      <c r="A54" s="146" t="n"/>
      <c r="B54" s="115">
        <f>IF(A54="","",COUNTIF('Trade Log'!B:B,A54))</f>
        <v/>
      </c>
      <c r="C54" s="115">
        <f>IF(A54="","",COUNTIFS('Trade Log'!B:B,A54,'Trade Log'!Q:Q,"WIN"))</f>
        <v/>
      </c>
      <c r="D54" s="115">
        <f>IF(A54="","",COUNTIFS('Trade Log'!B:B,A54,'Trade Log'!Q:Q,"LOSS"))</f>
        <v/>
      </c>
      <c r="E54" s="116">
        <f>IF(OR(A54="",B54=0),"-",C54/B54)</f>
        <v/>
      </c>
      <c r="F54" s="117">
        <f>IF(A54="","",SUMIF('Trade Log'!B:B,A54,'Trade Log'!N:N))</f>
        <v/>
      </c>
      <c r="G54" s="117">
        <f>IF(A54="","",SUM($F$3:F54))</f>
        <v/>
      </c>
    </row>
    <row r="55" ht="15" customHeight="1" s="75">
      <c r="A55" s="146" t="n"/>
      <c r="B55" s="115">
        <f>IF(A55="","",COUNTIF('Trade Log'!B:B,A55))</f>
        <v/>
      </c>
      <c r="C55" s="115">
        <f>IF(A55="","",COUNTIFS('Trade Log'!B:B,A55,'Trade Log'!Q:Q,"WIN"))</f>
        <v/>
      </c>
      <c r="D55" s="115">
        <f>IF(A55="","",COUNTIFS('Trade Log'!B:B,A55,'Trade Log'!Q:Q,"LOSS"))</f>
        <v/>
      </c>
      <c r="E55" s="116">
        <f>IF(OR(A55="",B55=0),"-",C55/B55)</f>
        <v/>
      </c>
      <c r="F55" s="117">
        <f>IF(A55="","",SUMIF('Trade Log'!B:B,A55,'Trade Log'!N:N))</f>
        <v/>
      </c>
      <c r="G55" s="117">
        <f>IF(A55="","",SUM($F$3:F55))</f>
        <v/>
      </c>
    </row>
    <row r="56" ht="15" customHeight="1" s="75">
      <c r="A56" s="146" t="n"/>
      <c r="B56" s="115">
        <f>IF(A56="","",COUNTIF('Trade Log'!B:B,A56))</f>
        <v/>
      </c>
      <c r="C56" s="115">
        <f>IF(A56="","",COUNTIFS('Trade Log'!B:B,A56,'Trade Log'!Q:Q,"WIN"))</f>
        <v/>
      </c>
      <c r="D56" s="115">
        <f>IF(A56="","",COUNTIFS('Trade Log'!B:B,A56,'Trade Log'!Q:Q,"LOSS"))</f>
        <v/>
      </c>
      <c r="E56" s="116">
        <f>IF(OR(A56="",B56=0),"-",C56/B56)</f>
        <v/>
      </c>
      <c r="F56" s="117">
        <f>IF(A56="","",SUMIF('Trade Log'!B:B,A56,'Trade Log'!N:N))</f>
        <v/>
      </c>
      <c r="G56" s="117">
        <f>IF(A56="","",SUM($F$3:F56))</f>
        <v/>
      </c>
    </row>
    <row r="57" ht="15" customHeight="1" s="75">
      <c r="A57" s="146" t="n"/>
      <c r="B57" s="115">
        <f>IF(A57="","",COUNTIF('Trade Log'!B:B,A57))</f>
        <v/>
      </c>
      <c r="C57" s="115">
        <f>IF(A57="","",COUNTIFS('Trade Log'!B:B,A57,'Trade Log'!Q:Q,"WIN"))</f>
        <v/>
      </c>
      <c r="D57" s="115">
        <f>IF(A57="","",COUNTIFS('Trade Log'!B:B,A57,'Trade Log'!Q:Q,"LOSS"))</f>
        <v/>
      </c>
      <c r="E57" s="116">
        <f>IF(OR(A57="",B57=0),"-",C57/B57)</f>
        <v/>
      </c>
      <c r="F57" s="117">
        <f>IF(A57="","",SUMIF('Trade Log'!B:B,A57,'Trade Log'!N:N))</f>
        <v/>
      </c>
      <c r="G57" s="117">
        <f>IF(A57="","",SUM($F$3:F57))</f>
        <v/>
      </c>
    </row>
    <row r="58" ht="15" customHeight="1" s="75">
      <c r="A58" s="146" t="n"/>
      <c r="B58" s="115">
        <f>IF(A58="","",COUNTIF('Trade Log'!B:B,A58))</f>
        <v/>
      </c>
      <c r="C58" s="115">
        <f>IF(A58="","",COUNTIFS('Trade Log'!B:B,A58,'Trade Log'!Q:Q,"WIN"))</f>
        <v/>
      </c>
      <c r="D58" s="115">
        <f>IF(A58="","",COUNTIFS('Trade Log'!B:B,A58,'Trade Log'!Q:Q,"LOSS"))</f>
        <v/>
      </c>
      <c r="E58" s="116">
        <f>IF(OR(A58="",B58=0),"-",C58/B58)</f>
        <v/>
      </c>
      <c r="F58" s="117">
        <f>IF(A58="","",SUMIF('Trade Log'!B:B,A58,'Trade Log'!N:N))</f>
        <v/>
      </c>
      <c r="G58" s="117">
        <f>IF(A58="","",SUM($F$3:F58))</f>
        <v/>
      </c>
    </row>
    <row r="59" ht="15" customHeight="1" s="75">
      <c r="A59" s="146" t="n"/>
      <c r="B59" s="115">
        <f>IF(A59="","",COUNTIF('Trade Log'!B:B,A59))</f>
        <v/>
      </c>
      <c r="C59" s="115">
        <f>IF(A59="","",COUNTIFS('Trade Log'!B:B,A59,'Trade Log'!Q:Q,"WIN"))</f>
        <v/>
      </c>
      <c r="D59" s="115">
        <f>IF(A59="","",COUNTIFS('Trade Log'!B:B,A59,'Trade Log'!Q:Q,"LOSS"))</f>
        <v/>
      </c>
      <c r="E59" s="116">
        <f>IF(OR(A59="",B59=0),"-",C59/B59)</f>
        <v/>
      </c>
      <c r="F59" s="117">
        <f>IF(A59="","",SUMIF('Trade Log'!B:B,A59,'Trade Log'!N:N))</f>
        <v/>
      </c>
      <c r="G59" s="117">
        <f>IF(A59="","",SUM($F$3:F59))</f>
        <v/>
      </c>
    </row>
    <row r="60" ht="15" customHeight="1" s="75">
      <c r="A60" s="146" t="n"/>
      <c r="B60" s="115">
        <f>IF(A60="","",COUNTIF('Trade Log'!B:B,A60))</f>
        <v/>
      </c>
      <c r="C60" s="115">
        <f>IF(A60="","",COUNTIFS('Trade Log'!B:B,A60,'Trade Log'!Q:Q,"WIN"))</f>
        <v/>
      </c>
      <c r="D60" s="115">
        <f>IF(A60="","",COUNTIFS('Trade Log'!B:B,A60,'Trade Log'!Q:Q,"LOSS"))</f>
        <v/>
      </c>
      <c r="E60" s="116">
        <f>IF(OR(A60="",B60=0),"-",C60/B60)</f>
        <v/>
      </c>
      <c r="F60" s="117">
        <f>IF(A60="","",SUMIF('Trade Log'!B:B,A60,'Trade Log'!N:N))</f>
        <v/>
      </c>
      <c r="G60" s="117">
        <f>IF(A60="","",SUM($F$3:F60))</f>
        <v/>
      </c>
    </row>
    <row r="61" ht="15" customHeight="1" s="75">
      <c r="A61" s="146" t="n"/>
      <c r="B61" s="115">
        <f>IF(A61="","",COUNTIF('Trade Log'!B:B,A61))</f>
        <v/>
      </c>
      <c r="C61" s="115">
        <f>IF(A61="","",COUNTIFS('Trade Log'!B:B,A61,'Trade Log'!Q:Q,"WIN"))</f>
        <v/>
      </c>
      <c r="D61" s="115">
        <f>IF(A61="","",COUNTIFS('Trade Log'!B:B,A61,'Trade Log'!Q:Q,"LOSS"))</f>
        <v/>
      </c>
      <c r="E61" s="116">
        <f>IF(OR(A61="",B61=0),"-",C61/B61)</f>
        <v/>
      </c>
      <c r="F61" s="117">
        <f>IF(A61="","",SUMIF('Trade Log'!B:B,A61,'Trade Log'!N:N))</f>
        <v/>
      </c>
      <c r="G61" s="117">
        <f>IF(A61="","",SUM($F$3:F61))</f>
        <v/>
      </c>
    </row>
    <row r="62" ht="15" customHeight="1" s="75">
      <c r="A62" s="146" t="n"/>
      <c r="B62" s="115">
        <f>IF(A62="","",COUNTIF('Trade Log'!B:B,A62))</f>
        <v/>
      </c>
      <c r="C62" s="115">
        <f>IF(A62="","",COUNTIFS('Trade Log'!B:B,A62,'Trade Log'!Q:Q,"WIN"))</f>
        <v/>
      </c>
      <c r="D62" s="115">
        <f>IF(A62="","",COUNTIFS('Trade Log'!B:B,A62,'Trade Log'!Q:Q,"LOSS"))</f>
        <v/>
      </c>
      <c r="E62" s="116">
        <f>IF(OR(A62="",B62=0),"-",C62/B62)</f>
        <v/>
      </c>
      <c r="F62" s="117">
        <f>IF(A62="","",SUMIF('Trade Log'!B:B,A62,'Trade Log'!N:N))</f>
        <v/>
      </c>
      <c r="G62" s="117">
        <f>IF(A62="","",SUM($F$3:F62))</f>
        <v/>
      </c>
    </row>
    <row r="63" ht="15" customHeight="1" s="75">
      <c r="A63" s="146" t="n"/>
      <c r="B63" s="115">
        <f>IF(A63="","",COUNTIF('Trade Log'!B:B,A63))</f>
        <v/>
      </c>
      <c r="C63" s="115">
        <f>IF(A63="","",COUNTIFS('Trade Log'!B:B,A63,'Trade Log'!Q:Q,"WIN"))</f>
        <v/>
      </c>
      <c r="D63" s="115">
        <f>IF(A63="","",COUNTIFS('Trade Log'!B:B,A63,'Trade Log'!Q:Q,"LOSS"))</f>
        <v/>
      </c>
      <c r="E63" s="116">
        <f>IF(OR(A63="",B63=0),"-",C63/B63)</f>
        <v/>
      </c>
      <c r="F63" s="117">
        <f>IF(A63="","",SUMIF('Trade Log'!B:B,A63,'Trade Log'!N:N))</f>
        <v/>
      </c>
      <c r="G63" s="117">
        <f>IF(A63="","",SUM($F$3:F63))</f>
        <v/>
      </c>
    </row>
    <row r="64" ht="15" customHeight="1" s="75">
      <c r="A64" s="146" t="n"/>
      <c r="B64" s="115">
        <f>IF(A64="","",COUNTIF('Trade Log'!B:B,A64))</f>
        <v/>
      </c>
      <c r="C64" s="115">
        <f>IF(A64="","",COUNTIFS('Trade Log'!B:B,A64,'Trade Log'!Q:Q,"WIN"))</f>
        <v/>
      </c>
      <c r="D64" s="115">
        <f>IF(A64="","",COUNTIFS('Trade Log'!B:B,A64,'Trade Log'!Q:Q,"LOSS"))</f>
        <v/>
      </c>
      <c r="E64" s="116">
        <f>IF(OR(A64="",B64=0),"-",C64/B64)</f>
        <v/>
      </c>
      <c r="F64" s="117">
        <f>IF(A64="","",SUMIF('Trade Log'!B:B,A64,'Trade Log'!N:N))</f>
        <v/>
      </c>
      <c r="G64" s="117">
        <f>IF(A64="","",SUM($F$3:F64))</f>
        <v/>
      </c>
    </row>
    <row r="65" ht="15" customHeight="1" s="75">
      <c r="A65" s="146" t="n"/>
      <c r="B65" s="115">
        <f>IF(A65="","",COUNTIF('Trade Log'!B:B,A65))</f>
        <v/>
      </c>
      <c r="C65" s="115">
        <f>IF(A65="","",COUNTIFS('Trade Log'!B:B,A65,'Trade Log'!Q:Q,"WIN"))</f>
        <v/>
      </c>
      <c r="D65" s="115">
        <f>IF(A65="","",COUNTIFS('Trade Log'!B:B,A65,'Trade Log'!Q:Q,"LOSS"))</f>
        <v/>
      </c>
      <c r="E65" s="116">
        <f>IF(OR(A65="",B65=0),"-",C65/B65)</f>
        <v/>
      </c>
      <c r="F65" s="117">
        <f>IF(A65="","",SUMIF('Trade Log'!B:B,A65,'Trade Log'!N:N))</f>
        <v/>
      </c>
      <c r="G65" s="117">
        <f>IF(A65="","",SUM($F$3:F65))</f>
        <v/>
      </c>
    </row>
    <row r="66" ht="15" customHeight="1" s="75">
      <c r="A66" s="146" t="n"/>
      <c r="B66" s="115">
        <f>IF(A66="","",COUNTIF('Trade Log'!B:B,A66))</f>
        <v/>
      </c>
      <c r="C66" s="115">
        <f>IF(A66="","",COUNTIFS('Trade Log'!B:B,A66,'Trade Log'!Q:Q,"WIN"))</f>
        <v/>
      </c>
      <c r="D66" s="115">
        <f>IF(A66="","",COUNTIFS('Trade Log'!B:B,A66,'Trade Log'!Q:Q,"LOSS"))</f>
        <v/>
      </c>
      <c r="E66" s="116">
        <f>IF(OR(A66="",B66=0),"-",C66/B66)</f>
        <v/>
      </c>
      <c r="F66" s="117">
        <f>IF(A66="","",SUMIF('Trade Log'!B:B,A66,'Trade Log'!N:N))</f>
        <v/>
      </c>
      <c r="G66" s="117">
        <f>IF(A66="","",SUM($F$3:F66))</f>
        <v/>
      </c>
    </row>
    <row r="67" ht="15" customHeight="1" s="75">
      <c r="A67" s="146" t="n"/>
      <c r="B67" s="115">
        <f>IF(A67="","",COUNTIF('Trade Log'!B:B,A67))</f>
        <v/>
      </c>
      <c r="C67" s="115">
        <f>IF(A67="","",COUNTIFS('Trade Log'!B:B,A67,'Trade Log'!Q:Q,"WIN"))</f>
        <v/>
      </c>
      <c r="D67" s="115">
        <f>IF(A67="","",COUNTIFS('Trade Log'!B:B,A67,'Trade Log'!Q:Q,"LOSS"))</f>
        <v/>
      </c>
      <c r="E67" s="116">
        <f>IF(OR(A67="",B67=0),"-",C67/B67)</f>
        <v/>
      </c>
      <c r="F67" s="117">
        <f>IF(A67="","",SUMIF('Trade Log'!B:B,A67,'Trade Log'!N:N))</f>
        <v/>
      </c>
      <c r="G67" s="117">
        <f>IF(A67="","",SUM($F$3:F67))</f>
        <v/>
      </c>
    </row>
    <row r="68" ht="15" customHeight="1" s="75">
      <c r="A68" s="146" t="n"/>
      <c r="B68" s="115">
        <f>IF(A68="","",COUNTIF('Trade Log'!B:B,A68))</f>
        <v/>
      </c>
      <c r="C68" s="115">
        <f>IF(A68="","",COUNTIFS('Trade Log'!B:B,A68,'Trade Log'!Q:Q,"WIN"))</f>
        <v/>
      </c>
      <c r="D68" s="115">
        <f>IF(A68="","",COUNTIFS('Trade Log'!B:B,A68,'Trade Log'!Q:Q,"LOSS"))</f>
        <v/>
      </c>
      <c r="E68" s="116">
        <f>IF(OR(A68="",B68=0),"-",C68/B68)</f>
        <v/>
      </c>
      <c r="F68" s="117">
        <f>IF(A68="","",SUMIF('Trade Log'!B:B,A68,'Trade Log'!N:N))</f>
        <v/>
      </c>
      <c r="G68" s="117">
        <f>IF(A68="","",SUM($F$3:F68))</f>
        <v/>
      </c>
    </row>
    <row r="69" ht="15" customHeight="1" s="75">
      <c r="A69" s="146" t="n"/>
      <c r="B69" s="115">
        <f>IF(A69="","",COUNTIF('Trade Log'!B:B,A69))</f>
        <v/>
      </c>
      <c r="C69" s="115">
        <f>IF(A69="","",COUNTIFS('Trade Log'!B:B,A69,'Trade Log'!Q:Q,"WIN"))</f>
        <v/>
      </c>
      <c r="D69" s="115">
        <f>IF(A69="","",COUNTIFS('Trade Log'!B:B,A69,'Trade Log'!Q:Q,"LOSS"))</f>
        <v/>
      </c>
      <c r="E69" s="116">
        <f>IF(OR(A69="",B69=0),"-",C69/B69)</f>
        <v/>
      </c>
      <c r="F69" s="117">
        <f>IF(A69="","",SUMIF('Trade Log'!B:B,A69,'Trade Log'!N:N))</f>
        <v/>
      </c>
      <c r="G69" s="117">
        <f>IF(A69="","",SUM($F$3:F69))</f>
        <v/>
      </c>
    </row>
    <row r="70" ht="15" customHeight="1" s="75">
      <c r="A70" s="146" t="n"/>
      <c r="B70" s="115">
        <f>IF(A70="","",COUNTIF('Trade Log'!B:B,A70))</f>
        <v/>
      </c>
      <c r="C70" s="115">
        <f>IF(A70="","",COUNTIFS('Trade Log'!B:B,A70,'Trade Log'!Q:Q,"WIN"))</f>
        <v/>
      </c>
      <c r="D70" s="115">
        <f>IF(A70="","",COUNTIFS('Trade Log'!B:B,A70,'Trade Log'!Q:Q,"LOSS"))</f>
        <v/>
      </c>
      <c r="E70" s="116">
        <f>IF(OR(A70="",B70=0),"-",C70/B70)</f>
        <v/>
      </c>
      <c r="F70" s="117">
        <f>IF(A70="","",SUMIF('Trade Log'!B:B,A70,'Trade Log'!N:N))</f>
        <v/>
      </c>
      <c r="G70" s="117">
        <f>IF(A70="","",SUM($F$3:F70))</f>
        <v/>
      </c>
    </row>
    <row r="71" ht="15" customHeight="1" s="75">
      <c r="A71" s="146" t="n"/>
      <c r="B71" s="115">
        <f>IF(A71="","",COUNTIF('Trade Log'!B:B,A71))</f>
        <v/>
      </c>
      <c r="C71" s="115">
        <f>IF(A71="","",COUNTIFS('Trade Log'!B:B,A71,'Trade Log'!Q:Q,"WIN"))</f>
        <v/>
      </c>
      <c r="D71" s="115">
        <f>IF(A71="","",COUNTIFS('Trade Log'!B:B,A71,'Trade Log'!Q:Q,"LOSS"))</f>
        <v/>
      </c>
      <c r="E71" s="116">
        <f>IF(OR(A71="",B71=0),"-",C71/B71)</f>
        <v/>
      </c>
      <c r="F71" s="117">
        <f>IF(A71="","",SUMIF('Trade Log'!B:B,A71,'Trade Log'!N:N))</f>
        <v/>
      </c>
      <c r="G71" s="117">
        <f>IF(A71="","",SUM($F$3:F71))</f>
        <v/>
      </c>
    </row>
    <row r="72" ht="15" customHeight="1" s="75">
      <c r="A72" s="146" t="n"/>
      <c r="B72" s="115">
        <f>IF(A72="","",COUNTIF('Trade Log'!B:B,A72))</f>
        <v/>
      </c>
      <c r="C72" s="115">
        <f>IF(A72="","",COUNTIFS('Trade Log'!B:B,A72,'Trade Log'!Q:Q,"WIN"))</f>
        <v/>
      </c>
      <c r="D72" s="115">
        <f>IF(A72="","",COUNTIFS('Trade Log'!B:B,A72,'Trade Log'!Q:Q,"LOSS"))</f>
        <v/>
      </c>
      <c r="E72" s="116">
        <f>IF(OR(A72="",B72=0),"-",C72/B72)</f>
        <v/>
      </c>
      <c r="F72" s="117">
        <f>IF(A72="","",SUMIF('Trade Log'!B:B,A72,'Trade Log'!N:N))</f>
        <v/>
      </c>
      <c r="G72" s="117">
        <f>IF(A72="","",SUM($F$3:F72))</f>
        <v/>
      </c>
    </row>
    <row r="73" ht="15" customHeight="1" s="75">
      <c r="A73" s="146" t="n"/>
      <c r="B73" s="115">
        <f>IF(A73="","",COUNTIF('Trade Log'!B:B,A73))</f>
        <v/>
      </c>
      <c r="C73" s="115">
        <f>IF(A73="","",COUNTIFS('Trade Log'!B:B,A73,'Trade Log'!Q:Q,"WIN"))</f>
        <v/>
      </c>
      <c r="D73" s="115">
        <f>IF(A73="","",COUNTIFS('Trade Log'!B:B,A73,'Trade Log'!Q:Q,"LOSS"))</f>
        <v/>
      </c>
      <c r="E73" s="116">
        <f>IF(OR(A73="",B73=0),"-",C73/B73)</f>
        <v/>
      </c>
      <c r="F73" s="117">
        <f>IF(A73="","",SUMIF('Trade Log'!B:B,A73,'Trade Log'!N:N))</f>
        <v/>
      </c>
      <c r="G73" s="117">
        <f>IF(A73="","",SUM($F$3:F73))</f>
        <v/>
      </c>
    </row>
    <row r="74" ht="15" customHeight="1" s="75">
      <c r="A74" s="146" t="n"/>
      <c r="B74" s="115">
        <f>IF(A74="","",COUNTIF('Trade Log'!B:B,A74))</f>
        <v/>
      </c>
      <c r="C74" s="115">
        <f>IF(A74="","",COUNTIFS('Trade Log'!B:B,A74,'Trade Log'!Q:Q,"WIN"))</f>
        <v/>
      </c>
      <c r="D74" s="115">
        <f>IF(A74="","",COUNTIFS('Trade Log'!B:B,A74,'Trade Log'!Q:Q,"LOSS"))</f>
        <v/>
      </c>
      <c r="E74" s="116">
        <f>IF(OR(A74="",B74=0),"-",C74/B74)</f>
        <v/>
      </c>
      <c r="F74" s="117">
        <f>IF(A74="","",SUMIF('Trade Log'!B:B,A74,'Trade Log'!N:N))</f>
        <v/>
      </c>
      <c r="G74" s="117">
        <f>IF(A74="","",SUM($F$3:F74))</f>
        <v/>
      </c>
    </row>
    <row r="75" ht="15" customHeight="1" s="75">
      <c r="A75" s="146" t="n"/>
      <c r="B75" s="115">
        <f>IF(A75="","",COUNTIF('Trade Log'!B:B,A75))</f>
        <v/>
      </c>
      <c r="C75" s="115">
        <f>IF(A75="","",COUNTIFS('Trade Log'!B:B,A75,'Trade Log'!Q:Q,"WIN"))</f>
        <v/>
      </c>
      <c r="D75" s="115">
        <f>IF(A75="","",COUNTIFS('Trade Log'!B:B,A75,'Trade Log'!Q:Q,"LOSS"))</f>
        <v/>
      </c>
      <c r="E75" s="116">
        <f>IF(OR(A75="",B75=0),"-",C75/B75)</f>
        <v/>
      </c>
      <c r="F75" s="117">
        <f>IF(A75="","",SUMIF('Trade Log'!B:B,A75,'Trade Log'!N:N))</f>
        <v/>
      </c>
      <c r="G75" s="117">
        <f>IF(A75="","",SUM($F$3:F75))</f>
        <v/>
      </c>
    </row>
    <row r="76" ht="15" customHeight="1" s="75">
      <c r="A76" s="146" t="n"/>
      <c r="B76" s="115">
        <f>IF(A76="","",COUNTIF('Trade Log'!B:B,A76))</f>
        <v/>
      </c>
      <c r="C76" s="115">
        <f>IF(A76="","",COUNTIFS('Trade Log'!B:B,A76,'Trade Log'!Q:Q,"WIN"))</f>
        <v/>
      </c>
      <c r="D76" s="115">
        <f>IF(A76="","",COUNTIFS('Trade Log'!B:B,A76,'Trade Log'!Q:Q,"LOSS"))</f>
        <v/>
      </c>
      <c r="E76" s="116">
        <f>IF(OR(A76="",B76=0),"-",C76/B76)</f>
        <v/>
      </c>
      <c r="F76" s="117">
        <f>IF(A76="","",SUMIF('Trade Log'!B:B,A76,'Trade Log'!N:N))</f>
        <v/>
      </c>
      <c r="G76" s="117">
        <f>IF(A76="","",SUM($F$3:F76))</f>
        <v/>
      </c>
    </row>
    <row r="77" ht="15" customHeight="1" s="75">
      <c r="A77" s="146" t="n"/>
      <c r="B77" s="115">
        <f>IF(A77="","",COUNTIF('Trade Log'!B:B,A77))</f>
        <v/>
      </c>
      <c r="C77" s="115">
        <f>IF(A77="","",COUNTIFS('Trade Log'!B:B,A77,'Trade Log'!Q:Q,"WIN"))</f>
        <v/>
      </c>
      <c r="D77" s="115">
        <f>IF(A77="","",COUNTIFS('Trade Log'!B:B,A77,'Trade Log'!Q:Q,"LOSS"))</f>
        <v/>
      </c>
      <c r="E77" s="116">
        <f>IF(OR(A77="",B77=0),"-",C77/B77)</f>
        <v/>
      </c>
      <c r="F77" s="117">
        <f>IF(A77="","",SUMIF('Trade Log'!B:B,A77,'Trade Log'!N:N))</f>
        <v/>
      </c>
      <c r="G77" s="117">
        <f>IF(A77="","",SUM($F$3:F77))</f>
        <v/>
      </c>
    </row>
    <row r="78" ht="15" customHeight="1" s="75">
      <c r="A78" s="146" t="n"/>
      <c r="B78" s="115">
        <f>IF(A78="","",COUNTIF('Trade Log'!B:B,A78))</f>
        <v/>
      </c>
      <c r="C78" s="115">
        <f>IF(A78="","",COUNTIFS('Trade Log'!B:B,A78,'Trade Log'!Q:Q,"WIN"))</f>
        <v/>
      </c>
      <c r="D78" s="115">
        <f>IF(A78="","",COUNTIFS('Trade Log'!B:B,A78,'Trade Log'!Q:Q,"LOSS"))</f>
        <v/>
      </c>
      <c r="E78" s="116">
        <f>IF(OR(A78="",B78=0),"-",C78/B78)</f>
        <v/>
      </c>
      <c r="F78" s="117">
        <f>IF(A78="","",SUMIF('Trade Log'!B:B,A78,'Trade Log'!N:N))</f>
        <v/>
      </c>
      <c r="G78" s="117">
        <f>IF(A78="","",SUM($F$3:F78))</f>
        <v/>
      </c>
    </row>
    <row r="79" ht="15" customHeight="1" s="75">
      <c r="A79" s="146" t="n"/>
      <c r="B79" s="115">
        <f>IF(A79="","",COUNTIF('Trade Log'!B:B,A79))</f>
        <v/>
      </c>
      <c r="C79" s="115">
        <f>IF(A79="","",COUNTIFS('Trade Log'!B:B,A79,'Trade Log'!Q:Q,"WIN"))</f>
        <v/>
      </c>
      <c r="D79" s="115">
        <f>IF(A79="","",COUNTIFS('Trade Log'!B:B,A79,'Trade Log'!Q:Q,"LOSS"))</f>
        <v/>
      </c>
      <c r="E79" s="116">
        <f>IF(OR(A79="",B79=0),"-",C79/B79)</f>
        <v/>
      </c>
      <c r="F79" s="117">
        <f>IF(A79="","",SUMIF('Trade Log'!B:B,A79,'Trade Log'!N:N))</f>
        <v/>
      </c>
      <c r="G79" s="117">
        <f>IF(A79="","",SUM($F$3:F79))</f>
        <v/>
      </c>
    </row>
    <row r="80" ht="15" customHeight="1" s="75">
      <c r="A80" s="146" t="n"/>
      <c r="B80" s="115">
        <f>IF(A80="","",COUNTIF('Trade Log'!B:B,A80))</f>
        <v/>
      </c>
      <c r="C80" s="115">
        <f>IF(A80="","",COUNTIFS('Trade Log'!B:B,A80,'Trade Log'!Q:Q,"WIN"))</f>
        <v/>
      </c>
      <c r="D80" s="115">
        <f>IF(A80="","",COUNTIFS('Trade Log'!B:B,A80,'Trade Log'!Q:Q,"LOSS"))</f>
        <v/>
      </c>
      <c r="E80" s="116">
        <f>IF(OR(A80="",B80=0),"-",C80/B80)</f>
        <v/>
      </c>
      <c r="F80" s="117">
        <f>IF(A80="","",SUMIF('Trade Log'!B:B,A80,'Trade Log'!N:N))</f>
        <v/>
      </c>
      <c r="G80" s="117">
        <f>IF(A80="","",SUM($F$3:F80))</f>
        <v/>
      </c>
    </row>
    <row r="81" ht="15" customHeight="1" s="75">
      <c r="A81" s="146" t="n"/>
      <c r="B81" s="115">
        <f>IF(A81="","",COUNTIF('Trade Log'!B:B,A81))</f>
        <v/>
      </c>
      <c r="C81" s="115">
        <f>IF(A81="","",COUNTIFS('Trade Log'!B:B,A81,'Trade Log'!Q:Q,"WIN"))</f>
        <v/>
      </c>
      <c r="D81" s="115">
        <f>IF(A81="","",COUNTIFS('Trade Log'!B:B,A81,'Trade Log'!Q:Q,"LOSS"))</f>
        <v/>
      </c>
      <c r="E81" s="116">
        <f>IF(OR(A81="",B81=0),"-",C81/B81)</f>
        <v/>
      </c>
      <c r="F81" s="117">
        <f>IF(A81="","",SUMIF('Trade Log'!B:B,A81,'Trade Log'!N:N))</f>
        <v/>
      </c>
      <c r="G81" s="117">
        <f>IF(A81="","",SUM($F$3:F81))</f>
        <v/>
      </c>
    </row>
    <row r="82" ht="15" customHeight="1" s="75">
      <c r="A82" s="146" t="n"/>
      <c r="B82" s="115">
        <f>IF(A82="","",COUNTIF('Trade Log'!B:B,A82))</f>
        <v/>
      </c>
      <c r="C82" s="115">
        <f>IF(A82="","",COUNTIFS('Trade Log'!B:B,A82,'Trade Log'!Q:Q,"WIN"))</f>
        <v/>
      </c>
      <c r="D82" s="115">
        <f>IF(A82="","",COUNTIFS('Trade Log'!B:B,A82,'Trade Log'!Q:Q,"LOSS"))</f>
        <v/>
      </c>
      <c r="E82" s="116">
        <f>IF(OR(A82="",B82=0),"-",C82/B82)</f>
        <v/>
      </c>
      <c r="F82" s="117">
        <f>IF(A82="","",SUMIF('Trade Log'!B:B,A82,'Trade Log'!N:N))</f>
        <v/>
      </c>
      <c r="G82" s="117">
        <f>IF(A82="","",SUM($F$3:F82))</f>
        <v/>
      </c>
    </row>
    <row r="83" ht="15" customHeight="1" s="75">
      <c r="A83" s="146" t="n"/>
      <c r="B83" s="115">
        <f>IF(A83="","",COUNTIF('Trade Log'!B:B,A83))</f>
        <v/>
      </c>
      <c r="C83" s="115">
        <f>IF(A83="","",COUNTIFS('Trade Log'!B:B,A83,'Trade Log'!Q:Q,"WIN"))</f>
        <v/>
      </c>
      <c r="D83" s="115">
        <f>IF(A83="","",COUNTIFS('Trade Log'!B:B,A83,'Trade Log'!Q:Q,"LOSS"))</f>
        <v/>
      </c>
      <c r="E83" s="116">
        <f>IF(OR(A83="",B83=0),"-",C83/B83)</f>
        <v/>
      </c>
      <c r="F83" s="117">
        <f>IF(A83="","",SUMIF('Trade Log'!B:B,A83,'Trade Log'!N:N))</f>
        <v/>
      </c>
      <c r="G83" s="117">
        <f>IF(A83="","",SUM($F$3:F83))</f>
        <v/>
      </c>
    </row>
    <row r="84" ht="15" customHeight="1" s="75">
      <c r="A84" s="146" t="n"/>
      <c r="B84" s="115">
        <f>IF(A84="","",COUNTIF('Trade Log'!B:B,A84))</f>
        <v/>
      </c>
      <c r="C84" s="115">
        <f>IF(A84="","",COUNTIFS('Trade Log'!B:B,A84,'Trade Log'!Q:Q,"WIN"))</f>
        <v/>
      </c>
      <c r="D84" s="115">
        <f>IF(A84="","",COUNTIFS('Trade Log'!B:B,A84,'Trade Log'!Q:Q,"LOSS"))</f>
        <v/>
      </c>
      <c r="E84" s="116">
        <f>IF(OR(A84="",B84=0),"-",C84/B84)</f>
        <v/>
      </c>
      <c r="F84" s="117">
        <f>IF(A84="","",SUMIF('Trade Log'!B:B,A84,'Trade Log'!N:N))</f>
        <v/>
      </c>
      <c r="G84" s="117">
        <f>IF(A84="","",SUM($F$3:F84))</f>
        <v/>
      </c>
    </row>
    <row r="85" ht="15" customHeight="1" s="75">
      <c r="A85" s="146" t="n"/>
      <c r="B85" s="115">
        <f>IF(A85="","",COUNTIF('Trade Log'!B:B,A85))</f>
        <v/>
      </c>
      <c r="C85" s="115">
        <f>IF(A85="","",COUNTIFS('Trade Log'!B:B,A85,'Trade Log'!Q:Q,"WIN"))</f>
        <v/>
      </c>
      <c r="D85" s="115">
        <f>IF(A85="","",COUNTIFS('Trade Log'!B:B,A85,'Trade Log'!Q:Q,"LOSS"))</f>
        <v/>
      </c>
      <c r="E85" s="116">
        <f>IF(OR(A85="",B85=0),"-",C85/B85)</f>
        <v/>
      </c>
      <c r="F85" s="117">
        <f>IF(A85="","",SUMIF('Trade Log'!B:B,A85,'Trade Log'!N:N))</f>
        <v/>
      </c>
      <c r="G85" s="117">
        <f>IF(A85="","",SUM($F$3:F85))</f>
        <v/>
      </c>
    </row>
    <row r="86" ht="15" customHeight="1" s="75">
      <c r="A86" s="146" t="n"/>
      <c r="B86" s="115">
        <f>IF(A86="","",COUNTIF('Trade Log'!B:B,A86))</f>
        <v/>
      </c>
      <c r="C86" s="115">
        <f>IF(A86="","",COUNTIFS('Trade Log'!B:B,A86,'Trade Log'!Q:Q,"WIN"))</f>
        <v/>
      </c>
      <c r="D86" s="115">
        <f>IF(A86="","",COUNTIFS('Trade Log'!B:B,A86,'Trade Log'!Q:Q,"LOSS"))</f>
        <v/>
      </c>
      <c r="E86" s="116">
        <f>IF(OR(A86="",B86=0),"-",C86/B86)</f>
        <v/>
      </c>
      <c r="F86" s="117">
        <f>IF(A86="","",SUMIF('Trade Log'!B:B,A86,'Trade Log'!N:N))</f>
        <v/>
      </c>
      <c r="G86" s="117">
        <f>IF(A86="","",SUM($F$3:F86))</f>
        <v/>
      </c>
    </row>
    <row r="87" ht="15" customHeight="1" s="75">
      <c r="A87" s="146" t="n"/>
      <c r="B87" s="115">
        <f>IF(A87="","",COUNTIF('Trade Log'!B:B,A87))</f>
        <v/>
      </c>
      <c r="C87" s="115">
        <f>IF(A87="","",COUNTIFS('Trade Log'!B:B,A87,'Trade Log'!Q:Q,"WIN"))</f>
        <v/>
      </c>
      <c r="D87" s="115">
        <f>IF(A87="","",COUNTIFS('Trade Log'!B:B,A87,'Trade Log'!Q:Q,"LOSS"))</f>
        <v/>
      </c>
      <c r="E87" s="116">
        <f>IF(OR(A87="",B87=0),"-",C87/B87)</f>
        <v/>
      </c>
      <c r="F87" s="117">
        <f>IF(A87="","",SUMIF('Trade Log'!B:B,A87,'Trade Log'!N:N))</f>
        <v/>
      </c>
      <c r="G87" s="117">
        <f>IF(A87="","",SUM($F$3:F87))</f>
        <v/>
      </c>
    </row>
    <row r="88" ht="15" customHeight="1" s="75">
      <c r="A88" s="146" t="n"/>
      <c r="B88" s="115">
        <f>IF(A88="","",COUNTIF('Trade Log'!B:B,A88))</f>
        <v/>
      </c>
      <c r="C88" s="115">
        <f>IF(A88="","",COUNTIFS('Trade Log'!B:B,A88,'Trade Log'!Q:Q,"WIN"))</f>
        <v/>
      </c>
      <c r="D88" s="115">
        <f>IF(A88="","",COUNTIFS('Trade Log'!B:B,A88,'Trade Log'!Q:Q,"LOSS"))</f>
        <v/>
      </c>
      <c r="E88" s="116">
        <f>IF(OR(A88="",B88=0),"-",C88/B88)</f>
        <v/>
      </c>
      <c r="F88" s="117">
        <f>IF(A88="","",SUMIF('Trade Log'!B:B,A88,'Trade Log'!N:N))</f>
        <v/>
      </c>
      <c r="G88" s="117">
        <f>IF(A88="","",SUM($F$3:F88))</f>
        <v/>
      </c>
    </row>
    <row r="89" ht="15" customHeight="1" s="75">
      <c r="A89" s="146" t="n"/>
      <c r="B89" s="115">
        <f>IF(A89="","",COUNTIF('Trade Log'!B:B,A89))</f>
        <v/>
      </c>
      <c r="C89" s="115">
        <f>IF(A89="","",COUNTIFS('Trade Log'!B:B,A89,'Trade Log'!Q:Q,"WIN"))</f>
        <v/>
      </c>
      <c r="D89" s="115">
        <f>IF(A89="","",COUNTIFS('Trade Log'!B:B,A89,'Trade Log'!Q:Q,"LOSS"))</f>
        <v/>
      </c>
      <c r="E89" s="116">
        <f>IF(OR(A89="",B89=0),"-",C89/B89)</f>
        <v/>
      </c>
      <c r="F89" s="117">
        <f>IF(A89="","",SUMIF('Trade Log'!B:B,A89,'Trade Log'!N:N))</f>
        <v/>
      </c>
      <c r="G89" s="117">
        <f>IF(A89="","",SUM($F$3:F89))</f>
        <v/>
      </c>
    </row>
    <row r="90" ht="15" customHeight="1" s="75">
      <c r="A90" s="146" t="n"/>
      <c r="B90" s="115">
        <f>IF(A90="","",COUNTIF('Trade Log'!B:B,A90))</f>
        <v/>
      </c>
      <c r="C90" s="115">
        <f>IF(A90="","",COUNTIFS('Trade Log'!B:B,A90,'Trade Log'!Q:Q,"WIN"))</f>
        <v/>
      </c>
      <c r="D90" s="115">
        <f>IF(A90="","",COUNTIFS('Trade Log'!B:B,A90,'Trade Log'!Q:Q,"LOSS"))</f>
        <v/>
      </c>
      <c r="E90" s="116">
        <f>IF(OR(A90="",B90=0),"-",C90/B90)</f>
        <v/>
      </c>
      <c r="F90" s="117">
        <f>IF(A90="","",SUMIF('Trade Log'!B:B,A90,'Trade Log'!N:N))</f>
        <v/>
      </c>
      <c r="G90" s="117">
        <f>IF(A90="","",SUM($F$3:F90))</f>
        <v/>
      </c>
    </row>
    <row r="91" ht="15" customHeight="1" s="75">
      <c r="A91" s="146" t="n"/>
      <c r="B91" s="115">
        <f>IF(A91="","",COUNTIF('Trade Log'!B:B,A91))</f>
        <v/>
      </c>
      <c r="C91" s="115">
        <f>IF(A91="","",COUNTIFS('Trade Log'!B:B,A91,'Trade Log'!Q:Q,"WIN"))</f>
        <v/>
      </c>
      <c r="D91" s="115">
        <f>IF(A91="","",COUNTIFS('Trade Log'!B:B,A91,'Trade Log'!Q:Q,"LOSS"))</f>
        <v/>
      </c>
      <c r="E91" s="116">
        <f>IF(OR(A91="",B91=0),"-",C91/B91)</f>
        <v/>
      </c>
      <c r="F91" s="117">
        <f>IF(A91="","",SUMIF('Trade Log'!B:B,A91,'Trade Log'!N:N))</f>
        <v/>
      </c>
      <c r="G91" s="117">
        <f>IF(A91="","",SUM($F$3:F91))</f>
        <v/>
      </c>
    </row>
    <row r="92" ht="15" customHeight="1" s="75">
      <c r="A92" s="146" t="n"/>
      <c r="B92" s="115">
        <f>IF(A92="","",COUNTIF('Trade Log'!B:B,A92))</f>
        <v/>
      </c>
      <c r="C92" s="115">
        <f>IF(A92="","",COUNTIFS('Trade Log'!B:B,A92,'Trade Log'!Q:Q,"WIN"))</f>
        <v/>
      </c>
      <c r="D92" s="115">
        <f>IF(A92="","",COUNTIFS('Trade Log'!B:B,A92,'Trade Log'!Q:Q,"LOSS"))</f>
        <v/>
      </c>
      <c r="E92" s="116">
        <f>IF(OR(A92="",B92=0),"-",C92/B92)</f>
        <v/>
      </c>
      <c r="F92" s="117">
        <f>IF(A92="","",SUMIF('Trade Log'!B:B,A92,'Trade Log'!N:N))</f>
        <v/>
      </c>
      <c r="G92" s="117">
        <f>IF(A92="","",SUM($F$3:F92))</f>
        <v/>
      </c>
    </row>
    <row r="93" ht="15" customHeight="1" s="75">
      <c r="A93" s="146" t="n"/>
      <c r="B93" s="115">
        <f>IF(A93="","",COUNTIF('Trade Log'!B:B,A93))</f>
        <v/>
      </c>
      <c r="C93" s="115">
        <f>IF(A93="","",COUNTIFS('Trade Log'!B:B,A93,'Trade Log'!Q:Q,"WIN"))</f>
        <v/>
      </c>
      <c r="D93" s="115">
        <f>IF(A93="","",COUNTIFS('Trade Log'!B:B,A93,'Trade Log'!Q:Q,"LOSS"))</f>
        <v/>
      </c>
      <c r="E93" s="116">
        <f>IF(OR(A93="",B93=0),"-",C93/B93)</f>
        <v/>
      </c>
      <c r="F93" s="117">
        <f>IF(A93="","",SUMIF('Trade Log'!B:B,A93,'Trade Log'!N:N))</f>
        <v/>
      </c>
      <c r="G93" s="117">
        <f>IF(A93="","",SUM($F$3:F93))</f>
        <v/>
      </c>
    </row>
    <row r="94" ht="15" customHeight="1" s="75">
      <c r="A94" s="146" t="n"/>
      <c r="B94" s="115">
        <f>IF(A94="","",COUNTIF('Trade Log'!B:B,A94))</f>
        <v/>
      </c>
      <c r="C94" s="115">
        <f>IF(A94="","",COUNTIFS('Trade Log'!B:B,A94,'Trade Log'!Q:Q,"WIN"))</f>
        <v/>
      </c>
      <c r="D94" s="115">
        <f>IF(A94="","",COUNTIFS('Trade Log'!B:B,A94,'Trade Log'!Q:Q,"LOSS"))</f>
        <v/>
      </c>
      <c r="E94" s="116">
        <f>IF(OR(A94="",B94=0),"-",C94/B94)</f>
        <v/>
      </c>
      <c r="F94" s="117">
        <f>IF(A94="","",SUMIF('Trade Log'!B:B,A94,'Trade Log'!N:N))</f>
        <v/>
      </c>
      <c r="G94" s="117">
        <f>IF(A94="","",SUM($F$3:F94))</f>
        <v/>
      </c>
    </row>
    <row r="95" ht="15" customHeight="1" s="75">
      <c r="A95" s="146" t="n"/>
      <c r="B95" s="115">
        <f>IF(A95="","",COUNTIF('Trade Log'!B:B,A95))</f>
        <v/>
      </c>
      <c r="C95" s="115">
        <f>IF(A95="","",COUNTIFS('Trade Log'!B:B,A95,'Trade Log'!Q:Q,"WIN"))</f>
        <v/>
      </c>
      <c r="D95" s="115">
        <f>IF(A95="","",COUNTIFS('Trade Log'!B:B,A95,'Trade Log'!Q:Q,"LOSS"))</f>
        <v/>
      </c>
      <c r="E95" s="116">
        <f>IF(OR(A95="",B95=0),"-",C95/B95)</f>
        <v/>
      </c>
      <c r="F95" s="117">
        <f>IF(A95="","",SUMIF('Trade Log'!B:B,A95,'Trade Log'!N:N))</f>
        <v/>
      </c>
      <c r="G95" s="117">
        <f>IF(A95="","",SUM($F$3:F95))</f>
        <v/>
      </c>
    </row>
    <row r="96" ht="15" customHeight="1" s="75">
      <c r="A96" s="146" t="n"/>
      <c r="B96" s="115">
        <f>IF(A96="","",COUNTIF('Trade Log'!B:B,A96))</f>
        <v/>
      </c>
      <c r="C96" s="115">
        <f>IF(A96="","",COUNTIFS('Trade Log'!B:B,A96,'Trade Log'!Q:Q,"WIN"))</f>
        <v/>
      </c>
      <c r="D96" s="115">
        <f>IF(A96="","",COUNTIFS('Trade Log'!B:B,A96,'Trade Log'!Q:Q,"LOSS"))</f>
        <v/>
      </c>
      <c r="E96" s="116">
        <f>IF(OR(A96="",B96=0),"-",C96/B96)</f>
        <v/>
      </c>
      <c r="F96" s="117">
        <f>IF(A96="","",SUMIF('Trade Log'!B:B,A96,'Trade Log'!N:N))</f>
        <v/>
      </c>
      <c r="G96" s="117">
        <f>IF(A96="","",SUM($F$3:F96))</f>
        <v/>
      </c>
    </row>
    <row r="97" ht="15" customHeight="1" s="75">
      <c r="A97" s="146" t="n"/>
      <c r="B97" s="115">
        <f>IF(A97="","",COUNTIF('Trade Log'!B:B,A97))</f>
        <v/>
      </c>
      <c r="C97" s="115">
        <f>IF(A97="","",COUNTIFS('Trade Log'!B:B,A97,'Trade Log'!Q:Q,"WIN"))</f>
        <v/>
      </c>
      <c r="D97" s="115">
        <f>IF(A97="","",COUNTIFS('Trade Log'!B:B,A97,'Trade Log'!Q:Q,"LOSS"))</f>
        <v/>
      </c>
      <c r="E97" s="116">
        <f>IF(OR(A97="",B97=0),"-",C97/B97)</f>
        <v/>
      </c>
      <c r="F97" s="117">
        <f>IF(A97="","",SUMIF('Trade Log'!B:B,A97,'Trade Log'!N:N))</f>
        <v/>
      </c>
      <c r="G97" s="117">
        <f>IF(A97="","",SUM($F$3:F97))</f>
        <v/>
      </c>
    </row>
    <row r="98" ht="15" customHeight="1" s="75">
      <c r="A98" s="146" t="n"/>
      <c r="B98" s="115">
        <f>IF(A98="","",COUNTIF('Trade Log'!B:B,A98))</f>
        <v/>
      </c>
      <c r="C98" s="115">
        <f>IF(A98="","",COUNTIFS('Trade Log'!B:B,A98,'Trade Log'!Q:Q,"WIN"))</f>
        <v/>
      </c>
      <c r="D98" s="115">
        <f>IF(A98="","",COUNTIFS('Trade Log'!B:B,A98,'Trade Log'!Q:Q,"LOSS"))</f>
        <v/>
      </c>
      <c r="E98" s="116">
        <f>IF(OR(A98="",B98=0),"-",C98/B98)</f>
        <v/>
      </c>
      <c r="F98" s="117">
        <f>IF(A98="","",SUMIF('Trade Log'!B:B,A98,'Trade Log'!N:N))</f>
        <v/>
      </c>
      <c r="G98" s="117">
        <f>IF(A98="","",SUM($F$3:F98))</f>
        <v/>
      </c>
    </row>
    <row r="99" ht="15" customHeight="1" s="75">
      <c r="A99" s="146" t="n"/>
      <c r="B99" s="115">
        <f>IF(A99="","",COUNTIF('Trade Log'!B:B,A99))</f>
        <v/>
      </c>
      <c r="C99" s="115">
        <f>IF(A99="","",COUNTIFS('Trade Log'!B:B,A99,'Trade Log'!Q:Q,"WIN"))</f>
        <v/>
      </c>
      <c r="D99" s="115">
        <f>IF(A99="","",COUNTIFS('Trade Log'!B:B,A99,'Trade Log'!Q:Q,"LOSS"))</f>
        <v/>
      </c>
      <c r="E99" s="116">
        <f>IF(OR(A99="",B99=0),"-",C99/B99)</f>
        <v/>
      </c>
      <c r="F99" s="117">
        <f>IF(A99="","",SUMIF('Trade Log'!B:B,A99,'Trade Log'!N:N))</f>
        <v/>
      </c>
      <c r="G99" s="117">
        <f>IF(A99="","",SUM($F$3:F99))</f>
        <v/>
      </c>
    </row>
    <row r="100" ht="15" customHeight="1" s="75">
      <c r="A100" s="146" t="n"/>
      <c r="B100" s="115">
        <f>IF(A100="","",COUNTIF('Trade Log'!B:B,A100))</f>
        <v/>
      </c>
      <c r="C100" s="115">
        <f>IF(A100="","",COUNTIFS('Trade Log'!B:B,A100,'Trade Log'!Q:Q,"WIN"))</f>
        <v/>
      </c>
      <c r="D100" s="115">
        <f>IF(A100="","",COUNTIFS('Trade Log'!B:B,A100,'Trade Log'!Q:Q,"LOSS"))</f>
        <v/>
      </c>
      <c r="E100" s="116">
        <f>IF(OR(A100="",B100=0),"-",C100/B100)</f>
        <v/>
      </c>
      <c r="F100" s="117">
        <f>IF(A100="","",SUMIF('Trade Log'!B:B,A100,'Trade Log'!N:N))</f>
        <v/>
      </c>
      <c r="G100" s="117">
        <f>IF(A100="","",SUM($F$3:F100))</f>
        <v/>
      </c>
    </row>
    <row r="101" ht="15" customHeight="1" s="75">
      <c r="A101" s="146" t="n"/>
      <c r="B101" s="115">
        <f>IF(A101="","",COUNTIF('Trade Log'!B:B,A101))</f>
        <v/>
      </c>
      <c r="C101" s="115">
        <f>IF(A101="","",COUNTIFS('Trade Log'!B:B,A101,'Trade Log'!Q:Q,"WIN"))</f>
        <v/>
      </c>
      <c r="D101" s="115">
        <f>IF(A101="","",COUNTIFS('Trade Log'!B:B,A101,'Trade Log'!Q:Q,"LOSS"))</f>
        <v/>
      </c>
      <c r="E101" s="116">
        <f>IF(OR(A101="",B101=0),"-",C101/B101)</f>
        <v/>
      </c>
      <c r="F101" s="117">
        <f>IF(A101="","",SUMIF('Trade Log'!B:B,A101,'Trade Log'!N:N))</f>
        <v/>
      </c>
      <c r="G101" s="117">
        <f>IF(A101="","",SUM($F$3:F101))</f>
        <v/>
      </c>
    </row>
    <row r="102" ht="15" customHeight="1" s="75">
      <c r="A102" s="146" t="n"/>
      <c r="B102" s="115">
        <f>IF(A102="","",COUNTIF('Trade Log'!B:B,A102))</f>
        <v/>
      </c>
      <c r="C102" s="115">
        <f>IF(A102="","",COUNTIFS('Trade Log'!B:B,A102,'Trade Log'!Q:Q,"WIN"))</f>
        <v/>
      </c>
      <c r="D102" s="115">
        <f>IF(A102="","",COUNTIFS('Trade Log'!B:B,A102,'Trade Log'!Q:Q,"LOSS"))</f>
        <v/>
      </c>
      <c r="E102" s="116">
        <f>IF(OR(A102="",B102=0),"-",C102/B102)</f>
        <v/>
      </c>
      <c r="F102" s="117">
        <f>IF(A102="","",SUMIF('Trade Log'!B:B,A102,'Trade Log'!N:N))</f>
        <v/>
      </c>
      <c r="G102" s="117">
        <f>IF(A102="","",SUM($F$3:F102))</f>
        <v/>
      </c>
    </row>
    <row r="103" ht="15" customHeight="1" s="75">
      <c r="A103" s="146" t="n"/>
      <c r="B103" s="115">
        <f>IF(A103="","",COUNTIF('Trade Log'!B:B,A103))</f>
        <v/>
      </c>
      <c r="C103" s="115">
        <f>IF(A103="","",COUNTIFS('Trade Log'!B:B,A103,'Trade Log'!Q:Q,"WIN"))</f>
        <v/>
      </c>
      <c r="D103" s="115">
        <f>IF(A103="","",COUNTIFS('Trade Log'!B:B,A103,'Trade Log'!Q:Q,"LOSS"))</f>
        <v/>
      </c>
      <c r="E103" s="116">
        <f>IF(OR(A103="",B103=0),"-",C103/B103)</f>
        <v/>
      </c>
      <c r="F103" s="117">
        <f>IF(A103="","",SUMIF('Trade Log'!B:B,A103,'Trade Log'!N:N))</f>
        <v/>
      </c>
      <c r="G103" s="117">
        <f>IF(A103="","",SUM($F$3:F103))</f>
        <v/>
      </c>
    </row>
    <row r="104" ht="15" customHeight="1" s="75">
      <c r="A104" s="146" t="n"/>
      <c r="B104" s="115">
        <f>IF(A104="","",COUNTIF('Trade Log'!B:B,A104))</f>
        <v/>
      </c>
      <c r="C104" s="115">
        <f>IF(A104="","",COUNTIFS('Trade Log'!B:B,A104,'Trade Log'!Q:Q,"WIN"))</f>
        <v/>
      </c>
      <c r="D104" s="115">
        <f>IF(A104="","",COUNTIFS('Trade Log'!B:B,A104,'Trade Log'!Q:Q,"LOSS"))</f>
        <v/>
      </c>
      <c r="E104" s="116">
        <f>IF(OR(A104="",B104=0),"-",C104/B104)</f>
        <v/>
      </c>
      <c r="F104" s="117">
        <f>IF(A104="","",SUMIF('Trade Log'!B:B,A104,'Trade Log'!N:N))</f>
        <v/>
      </c>
      <c r="G104" s="117">
        <f>IF(A104="","",SUM($F$3:F104))</f>
        <v/>
      </c>
    </row>
    <row r="105" ht="15" customHeight="1" s="75">
      <c r="A105" s="146" t="n"/>
      <c r="B105" s="115">
        <f>IF(A105="","",COUNTIF('Trade Log'!B:B,A105))</f>
        <v/>
      </c>
      <c r="C105" s="115">
        <f>IF(A105="","",COUNTIFS('Trade Log'!B:B,A105,'Trade Log'!Q:Q,"WIN"))</f>
        <v/>
      </c>
      <c r="D105" s="115">
        <f>IF(A105="","",COUNTIFS('Trade Log'!B:B,A105,'Trade Log'!Q:Q,"LOSS"))</f>
        <v/>
      </c>
      <c r="E105" s="116">
        <f>IF(OR(A105="",B105=0),"-",C105/B105)</f>
        <v/>
      </c>
      <c r="F105" s="117">
        <f>IF(A105="","",SUMIF('Trade Log'!B:B,A105,'Trade Log'!N:N))</f>
        <v/>
      </c>
      <c r="G105" s="117">
        <f>IF(A105="","",SUM($F$3:F105))</f>
        <v/>
      </c>
    </row>
    <row r="106" ht="15" customHeight="1" s="75">
      <c r="A106" s="146" t="n"/>
      <c r="B106" s="115">
        <f>IF(A106="","",COUNTIF('Trade Log'!B:B,A106))</f>
        <v/>
      </c>
      <c r="C106" s="115">
        <f>IF(A106="","",COUNTIFS('Trade Log'!B:B,A106,'Trade Log'!Q:Q,"WIN"))</f>
        <v/>
      </c>
      <c r="D106" s="115">
        <f>IF(A106="","",COUNTIFS('Trade Log'!B:B,A106,'Trade Log'!Q:Q,"LOSS"))</f>
        <v/>
      </c>
      <c r="E106" s="116">
        <f>IF(OR(A106="",B106=0),"-",C106/B106)</f>
        <v/>
      </c>
      <c r="F106" s="117">
        <f>IF(A106="","",SUMIF('Trade Log'!B:B,A106,'Trade Log'!N:N))</f>
        <v/>
      </c>
      <c r="G106" s="117">
        <f>IF(A106="","",SUM($F$3:F106))</f>
        <v/>
      </c>
    </row>
    <row r="107" ht="15" customHeight="1" s="75">
      <c r="A107" s="146" t="n"/>
      <c r="B107" s="115">
        <f>IF(A107="","",COUNTIF('Trade Log'!B:B,A107))</f>
        <v/>
      </c>
      <c r="C107" s="115">
        <f>IF(A107="","",COUNTIFS('Trade Log'!B:B,A107,'Trade Log'!Q:Q,"WIN"))</f>
        <v/>
      </c>
      <c r="D107" s="115">
        <f>IF(A107="","",COUNTIFS('Trade Log'!B:B,A107,'Trade Log'!Q:Q,"LOSS"))</f>
        <v/>
      </c>
      <c r="E107" s="116">
        <f>IF(OR(A107="",B107=0),"-",C107/B107)</f>
        <v/>
      </c>
      <c r="F107" s="117">
        <f>IF(A107="","",SUMIF('Trade Log'!B:B,A107,'Trade Log'!N:N))</f>
        <v/>
      </c>
      <c r="G107" s="117">
        <f>IF(A107="","",SUM($F$3:F107))</f>
        <v/>
      </c>
    </row>
    <row r="108" ht="15" customHeight="1" s="75">
      <c r="A108" s="146" t="n"/>
      <c r="B108" s="115">
        <f>IF(A108="","",COUNTIF('Trade Log'!B:B,A108))</f>
        <v/>
      </c>
      <c r="C108" s="115">
        <f>IF(A108="","",COUNTIFS('Trade Log'!B:B,A108,'Trade Log'!Q:Q,"WIN"))</f>
        <v/>
      </c>
      <c r="D108" s="115">
        <f>IF(A108="","",COUNTIFS('Trade Log'!B:B,A108,'Trade Log'!Q:Q,"LOSS"))</f>
        <v/>
      </c>
      <c r="E108" s="116">
        <f>IF(OR(A108="",B108=0),"-",C108/B108)</f>
        <v/>
      </c>
      <c r="F108" s="117">
        <f>IF(A108="","",SUMIF('Trade Log'!B:B,A108,'Trade Log'!N:N))</f>
        <v/>
      </c>
      <c r="G108" s="117">
        <f>IF(A108="","",SUM($F$3:F108))</f>
        <v/>
      </c>
    </row>
    <row r="109" ht="15" customHeight="1" s="75">
      <c r="A109" s="146" t="n"/>
      <c r="B109" s="115">
        <f>IF(A109="","",COUNTIF('Trade Log'!B:B,A109))</f>
        <v/>
      </c>
      <c r="C109" s="115">
        <f>IF(A109="","",COUNTIFS('Trade Log'!B:B,A109,'Trade Log'!Q:Q,"WIN"))</f>
        <v/>
      </c>
      <c r="D109" s="115">
        <f>IF(A109="","",COUNTIFS('Trade Log'!B:B,A109,'Trade Log'!Q:Q,"LOSS"))</f>
        <v/>
      </c>
      <c r="E109" s="116">
        <f>IF(OR(A109="",B109=0),"-",C109/B109)</f>
        <v/>
      </c>
      <c r="F109" s="117">
        <f>IF(A109="","",SUMIF('Trade Log'!B:B,A109,'Trade Log'!N:N))</f>
        <v/>
      </c>
      <c r="G109" s="117">
        <f>IF(A109="","",SUM($F$3:F109))</f>
        <v/>
      </c>
    </row>
    <row r="110" ht="15" customHeight="1" s="75">
      <c r="A110" s="146" t="n"/>
      <c r="B110" s="115">
        <f>IF(A110="","",COUNTIF('Trade Log'!B:B,A110))</f>
        <v/>
      </c>
      <c r="C110" s="115">
        <f>IF(A110="","",COUNTIFS('Trade Log'!B:B,A110,'Trade Log'!Q:Q,"WIN"))</f>
        <v/>
      </c>
      <c r="D110" s="115">
        <f>IF(A110="","",COUNTIFS('Trade Log'!B:B,A110,'Trade Log'!Q:Q,"LOSS"))</f>
        <v/>
      </c>
      <c r="E110" s="116">
        <f>IF(OR(A110="",B110=0),"-",C110/B110)</f>
        <v/>
      </c>
      <c r="F110" s="117">
        <f>IF(A110="","",SUMIF('Trade Log'!B:B,A110,'Trade Log'!N:N))</f>
        <v/>
      </c>
      <c r="G110" s="117">
        <f>IF(A110="","",SUM($F$3:F110))</f>
        <v/>
      </c>
    </row>
    <row r="111" ht="15" customHeight="1" s="75">
      <c r="A111" s="146" t="n"/>
      <c r="B111" s="115">
        <f>IF(A111="","",COUNTIF('Trade Log'!B:B,A111))</f>
        <v/>
      </c>
      <c r="C111" s="115">
        <f>IF(A111="","",COUNTIFS('Trade Log'!B:B,A111,'Trade Log'!Q:Q,"WIN"))</f>
        <v/>
      </c>
      <c r="D111" s="115">
        <f>IF(A111="","",COUNTIFS('Trade Log'!B:B,A111,'Trade Log'!Q:Q,"LOSS"))</f>
        <v/>
      </c>
      <c r="E111" s="116">
        <f>IF(OR(A111="",B111=0),"-",C111/B111)</f>
        <v/>
      </c>
      <c r="F111" s="117">
        <f>IF(A111="","",SUMIF('Trade Log'!B:B,A111,'Trade Log'!N:N))</f>
        <v/>
      </c>
      <c r="G111" s="117">
        <f>IF(A111="","",SUM($F$3:F111))</f>
        <v/>
      </c>
    </row>
    <row r="112" ht="15" customHeight="1" s="75">
      <c r="A112" s="146" t="n"/>
      <c r="B112" s="115">
        <f>IF(A112="","",COUNTIF('Trade Log'!B:B,A112))</f>
        <v/>
      </c>
      <c r="C112" s="115">
        <f>IF(A112="","",COUNTIFS('Trade Log'!B:B,A112,'Trade Log'!Q:Q,"WIN"))</f>
        <v/>
      </c>
      <c r="D112" s="115">
        <f>IF(A112="","",COUNTIFS('Trade Log'!B:B,A112,'Trade Log'!Q:Q,"LOSS"))</f>
        <v/>
      </c>
      <c r="E112" s="116">
        <f>IF(OR(A112="",B112=0),"-",C112/B112)</f>
        <v/>
      </c>
      <c r="F112" s="117">
        <f>IF(A112="","",SUMIF('Trade Log'!B:B,A112,'Trade Log'!N:N))</f>
        <v/>
      </c>
      <c r="G112" s="117">
        <f>IF(A112="","",SUM($F$3:F112))</f>
        <v/>
      </c>
    </row>
    <row r="113" ht="15" customHeight="1" s="75">
      <c r="A113" s="146" t="n"/>
      <c r="B113" s="115">
        <f>IF(A113="","",COUNTIF('Trade Log'!B:B,A113))</f>
        <v/>
      </c>
      <c r="C113" s="115">
        <f>IF(A113="","",COUNTIFS('Trade Log'!B:B,A113,'Trade Log'!Q:Q,"WIN"))</f>
        <v/>
      </c>
      <c r="D113" s="115">
        <f>IF(A113="","",COUNTIFS('Trade Log'!B:B,A113,'Trade Log'!Q:Q,"LOSS"))</f>
        <v/>
      </c>
      <c r="E113" s="116">
        <f>IF(OR(A113="",B113=0),"-",C113/B113)</f>
        <v/>
      </c>
      <c r="F113" s="117">
        <f>IF(A113="","",SUMIF('Trade Log'!B:B,A113,'Trade Log'!N:N))</f>
        <v/>
      </c>
      <c r="G113" s="117">
        <f>IF(A113="","",SUM($F$3:F113))</f>
        <v/>
      </c>
    </row>
    <row r="114" ht="15" customHeight="1" s="75">
      <c r="A114" s="146" t="n"/>
      <c r="B114" s="115">
        <f>IF(A114="","",COUNTIF('Trade Log'!B:B,A114))</f>
        <v/>
      </c>
      <c r="C114" s="115">
        <f>IF(A114="","",COUNTIFS('Trade Log'!B:B,A114,'Trade Log'!Q:Q,"WIN"))</f>
        <v/>
      </c>
      <c r="D114" s="115">
        <f>IF(A114="","",COUNTIFS('Trade Log'!B:B,A114,'Trade Log'!Q:Q,"LOSS"))</f>
        <v/>
      </c>
      <c r="E114" s="116">
        <f>IF(OR(A114="",B114=0),"-",C114/B114)</f>
        <v/>
      </c>
      <c r="F114" s="117">
        <f>IF(A114="","",SUMIF('Trade Log'!B:B,A114,'Trade Log'!N:N))</f>
        <v/>
      </c>
      <c r="G114" s="117">
        <f>IF(A114="","",SUM($F$3:F114))</f>
        <v/>
      </c>
    </row>
    <row r="115" ht="15" customHeight="1" s="75">
      <c r="A115" s="146" t="n"/>
      <c r="B115" s="115">
        <f>IF(A115="","",COUNTIF('Trade Log'!B:B,A115))</f>
        <v/>
      </c>
      <c r="C115" s="115">
        <f>IF(A115="","",COUNTIFS('Trade Log'!B:B,A115,'Trade Log'!Q:Q,"WIN"))</f>
        <v/>
      </c>
      <c r="D115" s="115">
        <f>IF(A115="","",COUNTIFS('Trade Log'!B:B,A115,'Trade Log'!Q:Q,"LOSS"))</f>
        <v/>
      </c>
      <c r="E115" s="116">
        <f>IF(OR(A115="",B115=0),"-",C115/B115)</f>
        <v/>
      </c>
      <c r="F115" s="117">
        <f>IF(A115="","",SUMIF('Trade Log'!B:B,A115,'Trade Log'!N:N))</f>
        <v/>
      </c>
      <c r="G115" s="117">
        <f>IF(A115="","",SUM($F$3:F115))</f>
        <v/>
      </c>
    </row>
    <row r="116" ht="15" customHeight="1" s="75">
      <c r="A116" s="146" t="n"/>
      <c r="B116" s="115">
        <f>IF(A116="","",COUNTIF('Trade Log'!B:B,A116))</f>
        <v/>
      </c>
      <c r="C116" s="115">
        <f>IF(A116="","",COUNTIFS('Trade Log'!B:B,A116,'Trade Log'!Q:Q,"WIN"))</f>
        <v/>
      </c>
      <c r="D116" s="115">
        <f>IF(A116="","",COUNTIFS('Trade Log'!B:B,A116,'Trade Log'!Q:Q,"LOSS"))</f>
        <v/>
      </c>
      <c r="E116" s="116">
        <f>IF(OR(A116="",B116=0),"-",C116/B116)</f>
        <v/>
      </c>
      <c r="F116" s="117">
        <f>IF(A116="","",SUMIF('Trade Log'!B:B,A116,'Trade Log'!N:N))</f>
        <v/>
      </c>
      <c r="G116" s="117">
        <f>IF(A116="","",SUM($F$3:F116))</f>
        <v/>
      </c>
    </row>
    <row r="117" ht="15" customHeight="1" s="75">
      <c r="A117" s="146" t="n"/>
      <c r="B117" s="115">
        <f>IF(A117="","",COUNTIF('Trade Log'!B:B,A117))</f>
        <v/>
      </c>
      <c r="C117" s="115">
        <f>IF(A117="","",COUNTIFS('Trade Log'!B:B,A117,'Trade Log'!Q:Q,"WIN"))</f>
        <v/>
      </c>
      <c r="D117" s="115">
        <f>IF(A117="","",COUNTIFS('Trade Log'!B:B,A117,'Trade Log'!Q:Q,"LOSS"))</f>
        <v/>
      </c>
      <c r="E117" s="116">
        <f>IF(OR(A117="",B117=0),"-",C117/B117)</f>
        <v/>
      </c>
      <c r="F117" s="117">
        <f>IF(A117="","",SUMIF('Trade Log'!B:B,A117,'Trade Log'!N:N))</f>
        <v/>
      </c>
      <c r="G117" s="117">
        <f>IF(A117="","",SUM($F$3:F117))</f>
        <v/>
      </c>
    </row>
    <row r="118" ht="15" customHeight="1" s="75">
      <c r="A118" s="146" t="n"/>
      <c r="B118" s="115">
        <f>IF(A118="","",COUNTIF('Trade Log'!B:B,A118))</f>
        <v/>
      </c>
      <c r="C118" s="115">
        <f>IF(A118="","",COUNTIFS('Trade Log'!B:B,A118,'Trade Log'!Q:Q,"WIN"))</f>
        <v/>
      </c>
      <c r="D118" s="115">
        <f>IF(A118="","",COUNTIFS('Trade Log'!B:B,A118,'Trade Log'!Q:Q,"LOSS"))</f>
        <v/>
      </c>
      <c r="E118" s="116">
        <f>IF(OR(A118="",B118=0),"-",C118/B118)</f>
        <v/>
      </c>
      <c r="F118" s="117">
        <f>IF(A118="","",SUMIF('Trade Log'!B:B,A118,'Trade Log'!N:N))</f>
        <v/>
      </c>
      <c r="G118" s="117">
        <f>IF(A118="","",SUM($F$3:F118))</f>
        <v/>
      </c>
    </row>
    <row r="119" ht="15" customHeight="1" s="75">
      <c r="A119" s="146" t="n"/>
      <c r="B119" s="115">
        <f>IF(A119="","",COUNTIF('Trade Log'!B:B,A119))</f>
        <v/>
      </c>
      <c r="C119" s="115">
        <f>IF(A119="","",COUNTIFS('Trade Log'!B:B,A119,'Trade Log'!Q:Q,"WIN"))</f>
        <v/>
      </c>
      <c r="D119" s="115">
        <f>IF(A119="","",COUNTIFS('Trade Log'!B:B,A119,'Trade Log'!Q:Q,"LOSS"))</f>
        <v/>
      </c>
      <c r="E119" s="116">
        <f>IF(OR(A119="",B119=0),"-",C119/B119)</f>
        <v/>
      </c>
      <c r="F119" s="117">
        <f>IF(A119="","",SUMIF('Trade Log'!B:B,A119,'Trade Log'!N:N))</f>
        <v/>
      </c>
      <c r="G119" s="117">
        <f>IF(A119="","",SUM($F$3:F119))</f>
        <v/>
      </c>
    </row>
    <row r="120" ht="15" customHeight="1" s="75">
      <c r="A120" s="146" t="n"/>
      <c r="B120" s="115">
        <f>IF(A120="","",COUNTIF('Trade Log'!B:B,A120))</f>
        <v/>
      </c>
      <c r="C120" s="115">
        <f>IF(A120="","",COUNTIFS('Trade Log'!B:B,A120,'Trade Log'!Q:Q,"WIN"))</f>
        <v/>
      </c>
      <c r="D120" s="115">
        <f>IF(A120="","",COUNTIFS('Trade Log'!B:B,A120,'Trade Log'!Q:Q,"LOSS"))</f>
        <v/>
      </c>
      <c r="E120" s="116">
        <f>IF(OR(A120="",B120=0),"-",C120/B120)</f>
        <v/>
      </c>
      <c r="F120" s="117">
        <f>IF(A120="","",SUMIF('Trade Log'!B:B,A120,'Trade Log'!N:N))</f>
        <v/>
      </c>
      <c r="G120" s="117">
        <f>IF(A120="","",SUM($F$3:F120))</f>
        <v/>
      </c>
    </row>
    <row r="121" ht="15" customHeight="1" s="75">
      <c r="A121" s="146" t="n"/>
      <c r="B121" s="115">
        <f>IF(A121="","",COUNTIF('Trade Log'!B:B,A121))</f>
        <v/>
      </c>
      <c r="C121" s="115">
        <f>IF(A121="","",COUNTIFS('Trade Log'!B:B,A121,'Trade Log'!Q:Q,"WIN"))</f>
        <v/>
      </c>
      <c r="D121" s="115">
        <f>IF(A121="","",COUNTIFS('Trade Log'!B:B,A121,'Trade Log'!Q:Q,"LOSS"))</f>
        <v/>
      </c>
      <c r="E121" s="116">
        <f>IF(OR(A121="",B121=0),"-",C121/B121)</f>
        <v/>
      </c>
      <c r="F121" s="117">
        <f>IF(A121="","",SUMIF('Trade Log'!B:B,A121,'Trade Log'!N:N))</f>
        <v/>
      </c>
      <c r="G121" s="117">
        <f>IF(A121="","",SUM($F$3:F121))</f>
        <v/>
      </c>
    </row>
    <row r="122" ht="15" customHeight="1" s="75">
      <c r="A122" s="146" t="n"/>
      <c r="B122" s="115">
        <f>IF(A122="","",COUNTIF('Trade Log'!B:B,A122))</f>
        <v/>
      </c>
      <c r="C122" s="115">
        <f>IF(A122="","",COUNTIFS('Trade Log'!B:B,A122,'Trade Log'!Q:Q,"WIN"))</f>
        <v/>
      </c>
      <c r="D122" s="115">
        <f>IF(A122="","",COUNTIFS('Trade Log'!B:B,A122,'Trade Log'!Q:Q,"LOSS"))</f>
        <v/>
      </c>
      <c r="E122" s="116">
        <f>IF(OR(A122="",B122=0),"-",C122/B122)</f>
        <v/>
      </c>
      <c r="F122" s="117">
        <f>IF(A122="","",SUMIF('Trade Log'!B:B,A122,'Trade Log'!N:N))</f>
        <v/>
      </c>
      <c r="G122" s="117">
        <f>IF(A122="","",SUM($F$3:F122))</f>
        <v/>
      </c>
    </row>
    <row r="123" ht="15" customHeight="1" s="75">
      <c r="A123" s="146" t="n"/>
      <c r="B123" s="115">
        <f>IF(A123="","",COUNTIF('Trade Log'!B:B,A123))</f>
        <v/>
      </c>
      <c r="C123" s="115">
        <f>IF(A123="","",COUNTIFS('Trade Log'!B:B,A123,'Trade Log'!Q:Q,"WIN"))</f>
        <v/>
      </c>
      <c r="D123" s="115">
        <f>IF(A123="","",COUNTIFS('Trade Log'!B:B,A123,'Trade Log'!Q:Q,"LOSS"))</f>
        <v/>
      </c>
      <c r="E123" s="116">
        <f>IF(OR(A123="",B123=0),"-",C123/B123)</f>
        <v/>
      </c>
      <c r="F123" s="117">
        <f>IF(A123="","",SUMIF('Trade Log'!B:B,A123,'Trade Log'!N:N))</f>
        <v/>
      </c>
      <c r="G123" s="117">
        <f>IF(A123="","",SUM($F$3:F123))</f>
        <v/>
      </c>
    </row>
    <row r="124" ht="15" customHeight="1" s="75">
      <c r="A124" s="146" t="n"/>
      <c r="B124" s="115">
        <f>IF(A124="","",COUNTIF('Trade Log'!B:B,A124))</f>
        <v/>
      </c>
      <c r="C124" s="115">
        <f>IF(A124="","",COUNTIFS('Trade Log'!B:B,A124,'Trade Log'!Q:Q,"WIN"))</f>
        <v/>
      </c>
      <c r="D124" s="115">
        <f>IF(A124="","",COUNTIFS('Trade Log'!B:B,A124,'Trade Log'!Q:Q,"LOSS"))</f>
        <v/>
      </c>
      <c r="E124" s="116">
        <f>IF(OR(A124="",B124=0),"-",C124/B124)</f>
        <v/>
      </c>
      <c r="F124" s="117">
        <f>IF(A124="","",SUMIF('Trade Log'!B:B,A124,'Trade Log'!N:N))</f>
        <v/>
      </c>
      <c r="G124" s="117">
        <f>IF(A124="","",SUM($F$3:F124))</f>
        <v/>
      </c>
    </row>
    <row r="125" ht="15" customHeight="1" s="75">
      <c r="A125" s="146" t="n"/>
      <c r="B125" s="115">
        <f>IF(A125="","",COUNTIF('Trade Log'!B:B,A125))</f>
        <v/>
      </c>
      <c r="C125" s="115">
        <f>IF(A125="","",COUNTIFS('Trade Log'!B:B,A125,'Trade Log'!Q:Q,"WIN"))</f>
        <v/>
      </c>
      <c r="D125" s="115">
        <f>IF(A125="","",COUNTIFS('Trade Log'!B:B,A125,'Trade Log'!Q:Q,"LOSS"))</f>
        <v/>
      </c>
      <c r="E125" s="116">
        <f>IF(OR(A125="",B125=0),"-",C125/B125)</f>
        <v/>
      </c>
      <c r="F125" s="117">
        <f>IF(A125="","",SUMIF('Trade Log'!B:B,A125,'Trade Log'!N:N))</f>
        <v/>
      </c>
      <c r="G125" s="117">
        <f>IF(A125="","",SUM($F$3:F125))</f>
        <v/>
      </c>
    </row>
    <row r="126" ht="15" customHeight="1" s="75">
      <c r="A126" s="146" t="n"/>
      <c r="B126" s="115">
        <f>IF(A126="","",COUNTIF('Trade Log'!B:B,A126))</f>
        <v/>
      </c>
      <c r="C126" s="115">
        <f>IF(A126="","",COUNTIFS('Trade Log'!B:B,A126,'Trade Log'!Q:Q,"WIN"))</f>
        <v/>
      </c>
      <c r="D126" s="115">
        <f>IF(A126="","",COUNTIFS('Trade Log'!B:B,A126,'Trade Log'!Q:Q,"LOSS"))</f>
        <v/>
      </c>
      <c r="E126" s="116">
        <f>IF(OR(A126="",B126=0),"-",C126/B126)</f>
        <v/>
      </c>
      <c r="F126" s="117">
        <f>IF(A126="","",SUMIF('Trade Log'!B:B,A126,'Trade Log'!N:N))</f>
        <v/>
      </c>
      <c r="G126" s="117">
        <f>IF(A126="","",SUM($F$3:F126))</f>
        <v/>
      </c>
    </row>
    <row r="127" ht="15" customHeight="1" s="75">
      <c r="A127" s="146" t="n"/>
      <c r="B127" s="115">
        <f>IF(A127="","",COUNTIF('Trade Log'!B:B,A127))</f>
        <v/>
      </c>
      <c r="C127" s="115">
        <f>IF(A127="","",COUNTIFS('Trade Log'!B:B,A127,'Trade Log'!Q:Q,"WIN"))</f>
        <v/>
      </c>
      <c r="D127" s="115">
        <f>IF(A127="","",COUNTIFS('Trade Log'!B:B,A127,'Trade Log'!Q:Q,"LOSS"))</f>
        <v/>
      </c>
      <c r="E127" s="116">
        <f>IF(OR(A127="",B127=0),"-",C127/B127)</f>
        <v/>
      </c>
      <c r="F127" s="117">
        <f>IF(A127="","",SUMIF('Trade Log'!B:B,A127,'Trade Log'!N:N))</f>
        <v/>
      </c>
      <c r="G127" s="117">
        <f>IF(A127="","",SUM($F$3:F127))</f>
        <v/>
      </c>
    </row>
    <row r="128" ht="15" customHeight="1" s="75">
      <c r="A128" s="146" t="n"/>
      <c r="B128" s="115">
        <f>IF(A128="","",COUNTIF('Trade Log'!B:B,A128))</f>
        <v/>
      </c>
      <c r="C128" s="115">
        <f>IF(A128="","",COUNTIFS('Trade Log'!B:B,A128,'Trade Log'!Q:Q,"WIN"))</f>
        <v/>
      </c>
      <c r="D128" s="115">
        <f>IF(A128="","",COUNTIFS('Trade Log'!B:B,A128,'Trade Log'!Q:Q,"LOSS"))</f>
        <v/>
      </c>
      <c r="E128" s="116">
        <f>IF(OR(A128="",B128=0),"-",C128/B128)</f>
        <v/>
      </c>
      <c r="F128" s="117">
        <f>IF(A128="","",SUMIF('Trade Log'!B:B,A128,'Trade Log'!N:N))</f>
        <v/>
      </c>
      <c r="G128" s="117">
        <f>IF(A128="","",SUM($F$3:F128))</f>
        <v/>
      </c>
    </row>
    <row r="129" ht="15" customHeight="1" s="75">
      <c r="A129" s="146" t="n"/>
      <c r="B129" s="115">
        <f>IF(A129="","",COUNTIF('Trade Log'!B:B,A129))</f>
        <v/>
      </c>
      <c r="C129" s="115">
        <f>IF(A129="","",COUNTIFS('Trade Log'!B:B,A129,'Trade Log'!Q:Q,"WIN"))</f>
        <v/>
      </c>
      <c r="D129" s="115">
        <f>IF(A129="","",COUNTIFS('Trade Log'!B:B,A129,'Trade Log'!Q:Q,"LOSS"))</f>
        <v/>
      </c>
      <c r="E129" s="116">
        <f>IF(OR(A129="",B129=0),"-",C129/B129)</f>
        <v/>
      </c>
      <c r="F129" s="117">
        <f>IF(A129="","",SUMIF('Trade Log'!B:B,A129,'Trade Log'!N:N))</f>
        <v/>
      </c>
      <c r="G129" s="117">
        <f>IF(A129="","",SUM($F$3:F129))</f>
        <v/>
      </c>
    </row>
    <row r="130" ht="15" customHeight="1" s="75">
      <c r="A130" s="146" t="n"/>
      <c r="B130" s="115">
        <f>IF(A130="","",COUNTIF('Trade Log'!B:B,A130))</f>
        <v/>
      </c>
      <c r="C130" s="115">
        <f>IF(A130="","",COUNTIFS('Trade Log'!B:B,A130,'Trade Log'!Q:Q,"WIN"))</f>
        <v/>
      </c>
      <c r="D130" s="115">
        <f>IF(A130="","",COUNTIFS('Trade Log'!B:B,A130,'Trade Log'!Q:Q,"LOSS"))</f>
        <v/>
      </c>
      <c r="E130" s="116">
        <f>IF(OR(A130="",B130=0),"-",C130/B130)</f>
        <v/>
      </c>
      <c r="F130" s="117">
        <f>IF(A130="","",SUMIF('Trade Log'!B:B,A130,'Trade Log'!N:N))</f>
        <v/>
      </c>
      <c r="G130" s="117">
        <f>IF(A130="","",SUM($F$3:F130))</f>
        <v/>
      </c>
    </row>
    <row r="131" ht="15" customHeight="1" s="75">
      <c r="A131" s="146" t="n"/>
      <c r="B131" s="115">
        <f>IF(A131="","",COUNTIF('Trade Log'!B:B,A131))</f>
        <v/>
      </c>
      <c r="C131" s="115">
        <f>IF(A131="","",COUNTIFS('Trade Log'!B:B,A131,'Trade Log'!Q:Q,"WIN"))</f>
        <v/>
      </c>
      <c r="D131" s="115">
        <f>IF(A131="","",COUNTIFS('Trade Log'!B:B,A131,'Trade Log'!Q:Q,"LOSS"))</f>
        <v/>
      </c>
      <c r="E131" s="116">
        <f>IF(OR(A131="",B131=0),"-",C131/B131)</f>
        <v/>
      </c>
      <c r="F131" s="117">
        <f>IF(A131="","",SUMIF('Trade Log'!B:B,A131,'Trade Log'!N:N))</f>
        <v/>
      </c>
      <c r="G131" s="117">
        <f>IF(A131="","",SUM($F$3:F131))</f>
        <v/>
      </c>
    </row>
    <row r="132" ht="15" customHeight="1" s="75">
      <c r="A132" s="146" t="n"/>
      <c r="B132" s="115">
        <f>IF(A132="","",COUNTIF('Trade Log'!B:B,A132))</f>
        <v/>
      </c>
      <c r="C132" s="115">
        <f>IF(A132="","",COUNTIFS('Trade Log'!B:B,A132,'Trade Log'!Q:Q,"WIN"))</f>
        <v/>
      </c>
      <c r="D132" s="115">
        <f>IF(A132="","",COUNTIFS('Trade Log'!B:B,A132,'Trade Log'!Q:Q,"LOSS"))</f>
        <v/>
      </c>
      <c r="E132" s="116">
        <f>IF(OR(A132="",B132=0),"-",C132/B132)</f>
        <v/>
      </c>
      <c r="F132" s="117">
        <f>IF(A132="","",SUMIF('Trade Log'!B:B,A132,'Trade Log'!N:N))</f>
        <v/>
      </c>
      <c r="G132" s="117">
        <f>IF(A132="","",SUM($F$3:F132))</f>
        <v/>
      </c>
    </row>
    <row r="133" ht="15" customHeight="1" s="75">
      <c r="A133" s="146" t="n"/>
      <c r="B133" s="115">
        <f>IF(A133="","",COUNTIF('Trade Log'!B:B,A133))</f>
        <v/>
      </c>
      <c r="C133" s="115">
        <f>IF(A133="","",COUNTIFS('Trade Log'!B:B,A133,'Trade Log'!Q:Q,"WIN"))</f>
        <v/>
      </c>
      <c r="D133" s="115">
        <f>IF(A133="","",COUNTIFS('Trade Log'!B:B,A133,'Trade Log'!Q:Q,"LOSS"))</f>
        <v/>
      </c>
      <c r="E133" s="116">
        <f>IF(OR(A133="",B133=0),"-",C133/B133)</f>
        <v/>
      </c>
      <c r="F133" s="117">
        <f>IF(A133="","",SUMIF('Trade Log'!B:B,A133,'Trade Log'!N:N))</f>
        <v/>
      </c>
      <c r="G133" s="117">
        <f>IF(A133="","",SUM($F$3:F133))</f>
        <v/>
      </c>
    </row>
    <row r="134" ht="15" customHeight="1" s="75">
      <c r="A134" s="146" t="n"/>
      <c r="B134" s="115">
        <f>IF(A134="","",COUNTIF('Trade Log'!B:B,A134))</f>
        <v/>
      </c>
      <c r="C134" s="115">
        <f>IF(A134="","",COUNTIFS('Trade Log'!B:B,A134,'Trade Log'!Q:Q,"WIN"))</f>
        <v/>
      </c>
      <c r="D134" s="115">
        <f>IF(A134="","",COUNTIFS('Trade Log'!B:B,A134,'Trade Log'!Q:Q,"LOSS"))</f>
        <v/>
      </c>
      <c r="E134" s="116">
        <f>IF(OR(A134="",B134=0),"-",C134/B134)</f>
        <v/>
      </c>
      <c r="F134" s="117">
        <f>IF(A134="","",SUMIF('Trade Log'!B:B,A134,'Trade Log'!N:N))</f>
        <v/>
      </c>
      <c r="G134" s="117">
        <f>IF(A134="","",SUM($F$3:F134))</f>
        <v/>
      </c>
    </row>
    <row r="135" ht="15" customHeight="1" s="75">
      <c r="A135" s="146" t="n"/>
      <c r="B135" s="115">
        <f>IF(A135="","",COUNTIF('Trade Log'!B:B,A135))</f>
        <v/>
      </c>
      <c r="C135" s="115">
        <f>IF(A135="","",COUNTIFS('Trade Log'!B:B,A135,'Trade Log'!Q:Q,"WIN"))</f>
        <v/>
      </c>
      <c r="D135" s="115">
        <f>IF(A135="","",COUNTIFS('Trade Log'!B:B,A135,'Trade Log'!Q:Q,"LOSS"))</f>
        <v/>
      </c>
      <c r="E135" s="116">
        <f>IF(OR(A135="",B135=0),"-",C135/B135)</f>
        <v/>
      </c>
      <c r="F135" s="117">
        <f>IF(A135="","",SUMIF('Trade Log'!B:B,A135,'Trade Log'!N:N))</f>
        <v/>
      </c>
      <c r="G135" s="117">
        <f>IF(A135="","",SUM($F$3:F135))</f>
        <v/>
      </c>
    </row>
    <row r="136" ht="15" customHeight="1" s="75">
      <c r="A136" s="146" t="n"/>
      <c r="B136" s="115">
        <f>IF(A136="","",COUNTIF('Trade Log'!B:B,A136))</f>
        <v/>
      </c>
      <c r="C136" s="115">
        <f>IF(A136="","",COUNTIFS('Trade Log'!B:B,A136,'Trade Log'!Q:Q,"WIN"))</f>
        <v/>
      </c>
      <c r="D136" s="115">
        <f>IF(A136="","",COUNTIFS('Trade Log'!B:B,A136,'Trade Log'!Q:Q,"LOSS"))</f>
        <v/>
      </c>
      <c r="E136" s="116">
        <f>IF(OR(A136="",B136=0),"-",C136/B136)</f>
        <v/>
      </c>
      <c r="F136" s="117">
        <f>IF(A136="","",SUMIF('Trade Log'!B:B,A136,'Trade Log'!N:N))</f>
        <v/>
      </c>
      <c r="G136" s="117">
        <f>IF(A136="","",SUM($F$3:F136))</f>
        <v/>
      </c>
    </row>
    <row r="137" ht="15" customHeight="1" s="75">
      <c r="A137" s="146" t="n"/>
      <c r="B137" s="115">
        <f>IF(A137="","",COUNTIF('Trade Log'!B:B,A137))</f>
        <v/>
      </c>
      <c r="C137" s="115">
        <f>IF(A137="","",COUNTIFS('Trade Log'!B:B,A137,'Trade Log'!Q:Q,"WIN"))</f>
        <v/>
      </c>
      <c r="D137" s="115">
        <f>IF(A137="","",COUNTIFS('Trade Log'!B:B,A137,'Trade Log'!Q:Q,"LOSS"))</f>
        <v/>
      </c>
      <c r="E137" s="116">
        <f>IF(OR(A137="",B137=0),"-",C137/B137)</f>
        <v/>
      </c>
      <c r="F137" s="117">
        <f>IF(A137="","",SUMIF('Trade Log'!B:B,A137,'Trade Log'!N:N))</f>
        <v/>
      </c>
      <c r="G137" s="117">
        <f>IF(A137="","",SUM($F$3:F137))</f>
        <v/>
      </c>
    </row>
    <row r="138" ht="15" customHeight="1" s="75">
      <c r="A138" s="146" t="n"/>
      <c r="B138" s="115">
        <f>IF(A138="","",COUNTIF('Trade Log'!B:B,A138))</f>
        <v/>
      </c>
      <c r="C138" s="115">
        <f>IF(A138="","",COUNTIFS('Trade Log'!B:B,A138,'Trade Log'!Q:Q,"WIN"))</f>
        <v/>
      </c>
      <c r="D138" s="115">
        <f>IF(A138="","",COUNTIFS('Trade Log'!B:B,A138,'Trade Log'!Q:Q,"LOSS"))</f>
        <v/>
      </c>
      <c r="E138" s="116">
        <f>IF(OR(A138="",B138=0),"-",C138/B138)</f>
        <v/>
      </c>
      <c r="F138" s="117">
        <f>IF(A138="","",SUMIF('Trade Log'!B:B,A138,'Trade Log'!N:N))</f>
        <v/>
      </c>
      <c r="G138" s="117">
        <f>IF(A138="","",SUM($F$3:F138))</f>
        <v/>
      </c>
    </row>
    <row r="139" ht="15" customHeight="1" s="75">
      <c r="A139" s="146" t="n"/>
      <c r="B139" s="115">
        <f>IF(A139="","",COUNTIF('Trade Log'!B:B,A139))</f>
        <v/>
      </c>
      <c r="C139" s="115">
        <f>IF(A139="","",COUNTIFS('Trade Log'!B:B,A139,'Trade Log'!Q:Q,"WIN"))</f>
        <v/>
      </c>
      <c r="D139" s="115">
        <f>IF(A139="","",COUNTIFS('Trade Log'!B:B,A139,'Trade Log'!Q:Q,"LOSS"))</f>
        <v/>
      </c>
      <c r="E139" s="116">
        <f>IF(OR(A139="",B139=0),"-",C139/B139)</f>
        <v/>
      </c>
      <c r="F139" s="117">
        <f>IF(A139="","",SUMIF('Trade Log'!B:B,A139,'Trade Log'!N:N))</f>
        <v/>
      </c>
      <c r="G139" s="117">
        <f>IF(A139="","",SUM($F$3:F139))</f>
        <v/>
      </c>
    </row>
    <row r="140" ht="15" customHeight="1" s="75">
      <c r="A140" s="146" t="n"/>
      <c r="B140" s="115">
        <f>IF(A140="","",COUNTIF('Trade Log'!B:B,A140))</f>
        <v/>
      </c>
      <c r="C140" s="115">
        <f>IF(A140="","",COUNTIFS('Trade Log'!B:B,A140,'Trade Log'!Q:Q,"WIN"))</f>
        <v/>
      </c>
      <c r="D140" s="115">
        <f>IF(A140="","",COUNTIFS('Trade Log'!B:B,A140,'Trade Log'!Q:Q,"LOSS"))</f>
        <v/>
      </c>
      <c r="E140" s="116">
        <f>IF(OR(A140="",B140=0),"-",C140/B140)</f>
        <v/>
      </c>
      <c r="F140" s="117">
        <f>IF(A140="","",SUMIF('Trade Log'!B:B,A140,'Trade Log'!N:N))</f>
        <v/>
      </c>
      <c r="G140" s="117">
        <f>IF(A140="","",SUM($F$3:F140))</f>
        <v/>
      </c>
    </row>
    <row r="141" ht="15" customHeight="1" s="75">
      <c r="A141" s="146" t="n"/>
      <c r="B141" s="115">
        <f>IF(A141="","",COUNTIF('Trade Log'!B:B,A141))</f>
        <v/>
      </c>
      <c r="C141" s="115">
        <f>IF(A141="","",COUNTIFS('Trade Log'!B:B,A141,'Trade Log'!Q:Q,"WIN"))</f>
        <v/>
      </c>
      <c r="D141" s="115">
        <f>IF(A141="","",COUNTIFS('Trade Log'!B:B,A141,'Trade Log'!Q:Q,"LOSS"))</f>
        <v/>
      </c>
      <c r="E141" s="116">
        <f>IF(OR(A141="",B141=0),"-",C141/B141)</f>
        <v/>
      </c>
      <c r="F141" s="117">
        <f>IF(A141="","",SUMIF('Trade Log'!B:B,A141,'Trade Log'!N:N))</f>
        <v/>
      </c>
      <c r="G141" s="117">
        <f>IF(A141="","",SUM($F$3:F141))</f>
        <v/>
      </c>
    </row>
    <row r="142" ht="15" customHeight="1" s="75">
      <c r="A142" s="146" t="n"/>
      <c r="B142" s="115">
        <f>IF(A142="","",COUNTIF('Trade Log'!B:B,A142))</f>
        <v/>
      </c>
      <c r="C142" s="115">
        <f>IF(A142="","",COUNTIFS('Trade Log'!B:B,A142,'Trade Log'!Q:Q,"WIN"))</f>
        <v/>
      </c>
      <c r="D142" s="115">
        <f>IF(A142="","",COUNTIFS('Trade Log'!B:B,A142,'Trade Log'!Q:Q,"LOSS"))</f>
        <v/>
      </c>
      <c r="E142" s="116">
        <f>IF(OR(A142="",B142=0),"-",C142/B142)</f>
        <v/>
      </c>
      <c r="F142" s="117">
        <f>IF(A142="","",SUMIF('Trade Log'!B:B,A142,'Trade Log'!N:N))</f>
        <v/>
      </c>
      <c r="G142" s="117">
        <f>IF(A142="","",SUM($F$3:F142))</f>
        <v/>
      </c>
    </row>
    <row r="143" ht="15" customHeight="1" s="75">
      <c r="A143" s="146" t="n"/>
      <c r="B143" s="115">
        <f>IF(A143="","",COUNTIF('Trade Log'!B:B,A143))</f>
        <v/>
      </c>
      <c r="C143" s="115">
        <f>IF(A143="","",COUNTIFS('Trade Log'!B:B,A143,'Trade Log'!Q:Q,"WIN"))</f>
        <v/>
      </c>
      <c r="D143" s="115">
        <f>IF(A143="","",COUNTIFS('Trade Log'!B:B,A143,'Trade Log'!Q:Q,"LOSS"))</f>
        <v/>
      </c>
      <c r="E143" s="116">
        <f>IF(OR(A143="",B143=0),"-",C143/B143)</f>
        <v/>
      </c>
      <c r="F143" s="117">
        <f>IF(A143="","",SUMIF('Trade Log'!B:B,A143,'Trade Log'!N:N))</f>
        <v/>
      </c>
      <c r="G143" s="117">
        <f>IF(A143="","",SUM($F$3:F143))</f>
        <v/>
      </c>
    </row>
    <row r="144" ht="15" customHeight="1" s="75">
      <c r="A144" s="146" t="n"/>
      <c r="B144" s="115">
        <f>IF(A144="","",COUNTIF('Trade Log'!B:B,A144))</f>
        <v/>
      </c>
      <c r="C144" s="115">
        <f>IF(A144="","",COUNTIFS('Trade Log'!B:B,A144,'Trade Log'!Q:Q,"WIN"))</f>
        <v/>
      </c>
      <c r="D144" s="115">
        <f>IF(A144="","",COUNTIFS('Trade Log'!B:B,A144,'Trade Log'!Q:Q,"LOSS"))</f>
        <v/>
      </c>
      <c r="E144" s="116">
        <f>IF(OR(A144="",B144=0),"-",C144/B144)</f>
        <v/>
      </c>
      <c r="F144" s="117">
        <f>IF(A144="","",SUMIF('Trade Log'!B:B,A144,'Trade Log'!N:N))</f>
        <v/>
      </c>
      <c r="G144" s="117">
        <f>IF(A144="","",SUM($F$3:F144))</f>
        <v/>
      </c>
    </row>
    <row r="145" ht="15" customHeight="1" s="75">
      <c r="A145" s="146" t="n"/>
      <c r="B145" s="115">
        <f>IF(A145="","",COUNTIF('Trade Log'!B:B,A145))</f>
        <v/>
      </c>
      <c r="C145" s="115">
        <f>IF(A145="","",COUNTIFS('Trade Log'!B:B,A145,'Trade Log'!Q:Q,"WIN"))</f>
        <v/>
      </c>
      <c r="D145" s="115">
        <f>IF(A145="","",COUNTIFS('Trade Log'!B:B,A145,'Trade Log'!Q:Q,"LOSS"))</f>
        <v/>
      </c>
      <c r="E145" s="116">
        <f>IF(OR(A145="",B145=0),"-",C145/B145)</f>
        <v/>
      </c>
      <c r="F145" s="117">
        <f>IF(A145="","",SUMIF('Trade Log'!B:B,A145,'Trade Log'!N:N))</f>
        <v/>
      </c>
      <c r="G145" s="117">
        <f>IF(A145="","",SUM($F$3:F145))</f>
        <v/>
      </c>
    </row>
    <row r="146" ht="15" customHeight="1" s="75">
      <c r="A146" s="146" t="n"/>
      <c r="B146" s="115">
        <f>IF(A146="","",COUNTIF('Trade Log'!B:B,A146))</f>
        <v/>
      </c>
      <c r="C146" s="115">
        <f>IF(A146="","",COUNTIFS('Trade Log'!B:B,A146,'Trade Log'!Q:Q,"WIN"))</f>
        <v/>
      </c>
      <c r="D146" s="115">
        <f>IF(A146="","",COUNTIFS('Trade Log'!B:B,A146,'Trade Log'!Q:Q,"LOSS"))</f>
        <v/>
      </c>
      <c r="E146" s="116">
        <f>IF(OR(A146="",B146=0),"-",C146/B146)</f>
        <v/>
      </c>
      <c r="F146" s="117">
        <f>IF(A146="","",SUMIF('Trade Log'!B:B,A146,'Trade Log'!N:N))</f>
        <v/>
      </c>
      <c r="G146" s="117">
        <f>IF(A146="","",SUM($F$3:F146))</f>
        <v/>
      </c>
    </row>
    <row r="147" ht="15" customHeight="1" s="75">
      <c r="A147" s="146" t="n"/>
      <c r="B147" s="115">
        <f>IF(A147="","",COUNTIF('Trade Log'!B:B,A147))</f>
        <v/>
      </c>
      <c r="C147" s="115">
        <f>IF(A147="","",COUNTIFS('Trade Log'!B:B,A147,'Trade Log'!Q:Q,"WIN"))</f>
        <v/>
      </c>
      <c r="D147" s="115">
        <f>IF(A147="","",COUNTIFS('Trade Log'!B:B,A147,'Trade Log'!Q:Q,"LOSS"))</f>
        <v/>
      </c>
      <c r="E147" s="116">
        <f>IF(OR(A147="",B147=0),"-",C147/B147)</f>
        <v/>
      </c>
      <c r="F147" s="117">
        <f>IF(A147="","",SUMIF('Trade Log'!B:B,A147,'Trade Log'!N:N))</f>
        <v/>
      </c>
      <c r="G147" s="117">
        <f>IF(A147="","",SUM($F$3:F147))</f>
        <v/>
      </c>
    </row>
    <row r="148" ht="15" customHeight="1" s="75">
      <c r="A148" s="146" t="n"/>
      <c r="B148" s="115">
        <f>IF(A148="","",COUNTIF('Trade Log'!B:B,A148))</f>
        <v/>
      </c>
      <c r="C148" s="115">
        <f>IF(A148="","",COUNTIFS('Trade Log'!B:B,A148,'Trade Log'!Q:Q,"WIN"))</f>
        <v/>
      </c>
      <c r="D148" s="115">
        <f>IF(A148="","",COUNTIFS('Trade Log'!B:B,A148,'Trade Log'!Q:Q,"LOSS"))</f>
        <v/>
      </c>
      <c r="E148" s="116">
        <f>IF(OR(A148="",B148=0),"-",C148/B148)</f>
        <v/>
      </c>
      <c r="F148" s="117">
        <f>IF(A148="","",SUMIF('Trade Log'!B:B,A148,'Trade Log'!N:N))</f>
        <v/>
      </c>
      <c r="G148" s="117">
        <f>IF(A148="","",SUM($F$3:F148))</f>
        <v/>
      </c>
    </row>
    <row r="149" ht="15" customHeight="1" s="75">
      <c r="A149" s="146" t="n"/>
      <c r="B149" s="115">
        <f>IF(A149="","",COUNTIF('Trade Log'!B:B,A149))</f>
        <v/>
      </c>
      <c r="C149" s="115">
        <f>IF(A149="","",COUNTIFS('Trade Log'!B:B,A149,'Trade Log'!Q:Q,"WIN"))</f>
        <v/>
      </c>
      <c r="D149" s="115">
        <f>IF(A149="","",COUNTIFS('Trade Log'!B:B,A149,'Trade Log'!Q:Q,"LOSS"))</f>
        <v/>
      </c>
      <c r="E149" s="116">
        <f>IF(OR(A149="",B149=0),"-",C149/B149)</f>
        <v/>
      </c>
      <c r="F149" s="117">
        <f>IF(A149="","",SUMIF('Trade Log'!B:B,A149,'Trade Log'!N:N))</f>
        <v/>
      </c>
      <c r="G149" s="117">
        <f>IF(A149="","",SUM($F$3:F149))</f>
        <v/>
      </c>
    </row>
    <row r="150" ht="15" customHeight="1" s="75">
      <c r="A150" s="146" t="n"/>
      <c r="B150" s="115">
        <f>IF(A150="","",COUNTIF('Trade Log'!B:B,A150))</f>
        <v/>
      </c>
      <c r="C150" s="115">
        <f>IF(A150="","",COUNTIFS('Trade Log'!B:B,A150,'Trade Log'!Q:Q,"WIN"))</f>
        <v/>
      </c>
      <c r="D150" s="115">
        <f>IF(A150="","",COUNTIFS('Trade Log'!B:B,A150,'Trade Log'!Q:Q,"LOSS"))</f>
        <v/>
      </c>
      <c r="E150" s="116">
        <f>IF(OR(A150="",B150=0),"-",C150/B150)</f>
        <v/>
      </c>
      <c r="F150" s="117">
        <f>IF(A150="","",SUMIF('Trade Log'!B:B,A150,'Trade Log'!N:N))</f>
        <v/>
      </c>
      <c r="G150" s="117">
        <f>IF(A150="","",SUM($F$3:F150))</f>
        <v/>
      </c>
    </row>
    <row r="151" ht="15" customHeight="1" s="75">
      <c r="A151" s="146" t="n"/>
      <c r="B151" s="115">
        <f>IF(A151="","",COUNTIF('Trade Log'!B:B,A151))</f>
        <v/>
      </c>
      <c r="C151" s="115">
        <f>IF(A151="","",COUNTIFS('Trade Log'!B:B,A151,'Trade Log'!Q:Q,"WIN"))</f>
        <v/>
      </c>
      <c r="D151" s="115">
        <f>IF(A151="","",COUNTIFS('Trade Log'!B:B,A151,'Trade Log'!Q:Q,"LOSS"))</f>
        <v/>
      </c>
      <c r="E151" s="116">
        <f>IF(OR(A151="",B151=0),"-",C151/B151)</f>
        <v/>
      </c>
      <c r="F151" s="117">
        <f>IF(A151="","",SUMIF('Trade Log'!B:B,A151,'Trade Log'!N:N))</f>
        <v/>
      </c>
      <c r="G151" s="117">
        <f>IF(A151="","",SUM($F$3:F151))</f>
        <v/>
      </c>
    </row>
    <row r="152" ht="15" customHeight="1" s="75">
      <c r="A152" s="146" t="n"/>
      <c r="B152" s="115">
        <f>IF(A152="","",COUNTIF('Trade Log'!B:B,A152))</f>
        <v/>
      </c>
      <c r="C152" s="115">
        <f>IF(A152="","",COUNTIFS('Trade Log'!B:B,A152,'Trade Log'!Q:Q,"WIN"))</f>
        <v/>
      </c>
      <c r="D152" s="115">
        <f>IF(A152="","",COUNTIFS('Trade Log'!B:B,A152,'Trade Log'!Q:Q,"LOSS"))</f>
        <v/>
      </c>
      <c r="E152" s="116">
        <f>IF(OR(A152="",B152=0),"-",C152/B152)</f>
        <v/>
      </c>
      <c r="F152" s="117">
        <f>IF(A152="","",SUMIF('Trade Log'!B:B,A152,'Trade Log'!N:N))</f>
        <v/>
      </c>
      <c r="G152" s="117">
        <f>IF(A152="","",SUM($F$3:F152))</f>
        <v/>
      </c>
    </row>
    <row r="153" ht="15" customHeight="1" s="75">
      <c r="A153" s="146" t="n"/>
      <c r="B153" s="115">
        <f>IF(A153="","",COUNTIF('Trade Log'!B:B,A153))</f>
        <v/>
      </c>
      <c r="C153" s="115">
        <f>IF(A153="","",COUNTIFS('Trade Log'!B:B,A153,'Trade Log'!Q:Q,"WIN"))</f>
        <v/>
      </c>
      <c r="D153" s="115">
        <f>IF(A153="","",COUNTIFS('Trade Log'!B:B,A153,'Trade Log'!Q:Q,"LOSS"))</f>
        <v/>
      </c>
      <c r="E153" s="116">
        <f>IF(OR(A153="",B153=0),"-",C153/B153)</f>
        <v/>
      </c>
      <c r="F153" s="117">
        <f>IF(A153="","",SUMIF('Trade Log'!B:B,A153,'Trade Log'!N:N))</f>
        <v/>
      </c>
      <c r="G153" s="117">
        <f>IF(A153="","",SUM($F$3:F153))</f>
        <v/>
      </c>
    </row>
    <row r="154" ht="15" customHeight="1" s="75">
      <c r="A154" s="146" t="n"/>
      <c r="B154" s="115">
        <f>IF(A154="","",COUNTIF('Trade Log'!B:B,A154))</f>
        <v/>
      </c>
      <c r="C154" s="115">
        <f>IF(A154="","",COUNTIFS('Trade Log'!B:B,A154,'Trade Log'!Q:Q,"WIN"))</f>
        <v/>
      </c>
      <c r="D154" s="115">
        <f>IF(A154="","",COUNTIFS('Trade Log'!B:B,A154,'Trade Log'!Q:Q,"LOSS"))</f>
        <v/>
      </c>
      <c r="E154" s="116">
        <f>IF(OR(A154="",B154=0),"-",C154/B154)</f>
        <v/>
      </c>
      <c r="F154" s="117">
        <f>IF(A154="","",SUMIF('Trade Log'!B:B,A154,'Trade Log'!N:N))</f>
        <v/>
      </c>
      <c r="G154" s="117">
        <f>IF(A154="","",SUM($F$3:F154))</f>
        <v/>
      </c>
    </row>
    <row r="155" ht="15" customHeight="1" s="75">
      <c r="A155" s="146" t="n"/>
      <c r="B155" s="115">
        <f>IF(A155="","",COUNTIF('Trade Log'!B:B,A155))</f>
        <v/>
      </c>
      <c r="C155" s="115">
        <f>IF(A155="","",COUNTIFS('Trade Log'!B:B,A155,'Trade Log'!Q:Q,"WIN"))</f>
        <v/>
      </c>
      <c r="D155" s="115">
        <f>IF(A155="","",COUNTIFS('Trade Log'!B:B,A155,'Trade Log'!Q:Q,"LOSS"))</f>
        <v/>
      </c>
      <c r="E155" s="116">
        <f>IF(OR(A155="",B155=0),"-",C155/B155)</f>
        <v/>
      </c>
      <c r="F155" s="117">
        <f>IF(A155="","",SUMIF('Trade Log'!B:B,A155,'Trade Log'!N:N))</f>
        <v/>
      </c>
      <c r="G155" s="117">
        <f>IF(A155="","",SUM($F$3:F155))</f>
        <v/>
      </c>
    </row>
    <row r="156" ht="15" customHeight="1" s="75">
      <c r="A156" s="146" t="n"/>
      <c r="B156" s="115">
        <f>IF(A156="","",COUNTIF('Trade Log'!B:B,A156))</f>
        <v/>
      </c>
      <c r="C156" s="115">
        <f>IF(A156="","",COUNTIFS('Trade Log'!B:B,A156,'Trade Log'!Q:Q,"WIN"))</f>
        <v/>
      </c>
      <c r="D156" s="115">
        <f>IF(A156="","",COUNTIFS('Trade Log'!B:B,A156,'Trade Log'!Q:Q,"LOSS"))</f>
        <v/>
      </c>
      <c r="E156" s="116">
        <f>IF(OR(A156="",B156=0),"-",C156/B156)</f>
        <v/>
      </c>
      <c r="F156" s="117">
        <f>IF(A156="","",SUMIF('Trade Log'!B:B,A156,'Trade Log'!N:N))</f>
        <v/>
      </c>
      <c r="G156" s="117">
        <f>IF(A156="","",SUM($F$3:F156))</f>
        <v/>
      </c>
    </row>
    <row r="157" ht="15" customHeight="1" s="75">
      <c r="A157" s="146" t="n"/>
      <c r="B157" s="115">
        <f>IF(A157="","",COUNTIF('Trade Log'!B:B,A157))</f>
        <v/>
      </c>
      <c r="C157" s="115">
        <f>IF(A157="","",COUNTIFS('Trade Log'!B:B,A157,'Trade Log'!Q:Q,"WIN"))</f>
        <v/>
      </c>
      <c r="D157" s="115">
        <f>IF(A157="","",COUNTIFS('Trade Log'!B:B,A157,'Trade Log'!Q:Q,"LOSS"))</f>
        <v/>
      </c>
      <c r="E157" s="116">
        <f>IF(OR(A157="",B157=0),"-",C157/B157)</f>
        <v/>
      </c>
      <c r="F157" s="117">
        <f>IF(A157="","",SUMIF('Trade Log'!B:B,A157,'Trade Log'!N:N))</f>
        <v/>
      </c>
      <c r="G157" s="117">
        <f>IF(A157="","",SUM($F$3:F157))</f>
        <v/>
      </c>
    </row>
    <row r="158" ht="15" customHeight="1" s="75">
      <c r="A158" s="146" t="n"/>
      <c r="B158" s="115">
        <f>IF(A158="","",COUNTIF('Trade Log'!B:B,A158))</f>
        <v/>
      </c>
      <c r="C158" s="115">
        <f>IF(A158="","",COUNTIFS('Trade Log'!B:B,A158,'Trade Log'!Q:Q,"WIN"))</f>
        <v/>
      </c>
      <c r="D158" s="115">
        <f>IF(A158="","",COUNTIFS('Trade Log'!B:B,A158,'Trade Log'!Q:Q,"LOSS"))</f>
        <v/>
      </c>
      <c r="E158" s="116">
        <f>IF(OR(A158="",B158=0),"-",C158/B158)</f>
        <v/>
      </c>
      <c r="F158" s="117">
        <f>IF(A158="","",SUMIF('Trade Log'!B:B,A158,'Trade Log'!N:N))</f>
        <v/>
      </c>
      <c r="G158" s="117">
        <f>IF(A158="","",SUM($F$3:F158))</f>
        <v/>
      </c>
    </row>
    <row r="159" ht="15" customHeight="1" s="75">
      <c r="A159" s="146" t="n"/>
      <c r="B159" s="115">
        <f>IF(A159="","",COUNTIF('Trade Log'!B:B,A159))</f>
        <v/>
      </c>
      <c r="C159" s="115">
        <f>IF(A159="","",COUNTIFS('Trade Log'!B:B,A159,'Trade Log'!Q:Q,"WIN"))</f>
        <v/>
      </c>
      <c r="D159" s="115">
        <f>IF(A159="","",COUNTIFS('Trade Log'!B:B,A159,'Trade Log'!Q:Q,"LOSS"))</f>
        <v/>
      </c>
      <c r="E159" s="116">
        <f>IF(OR(A159="",B159=0),"-",C159/B159)</f>
        <v/>
      </c>
      <c r="F159" s="117">
        <f>IF(A159="","",SUMIF('Trade Log'!B:B,A159,'Trade Log'!N:N))</f>
        <v/>
      </c>
      <c r="G159" s="117">
        <f>IF(A159="","",SUM($F$3:F159))</f>
        <v/>
      </c>
    </row>
    <row r="160" ht="15" customHeight="1" s="75">
      <c r="A160" s="146" t="n"/>
      <c r="B160" s="115">
        <f>IF(A160="","",COUNTIF('Trade Log'!B:B,A160))</f>
        <v/>
      </c>
      <c r="C160" s="115">
        <f>IF(A160="","",COUNTIFS('Trade Log'!B:B,A160,'Trade Log'!Q:Q,"WIN"))</f>
        <v/>
      </c>
      <c r="D160" s="115">
        <f>IF(A160="","",COUNTIFS('Trade Log'!B:B,A160,'Trade Log'!Q:Q,"LOSS"))</f>
        <v/>
      </c>
      <c r="E160" s="116">
        <f>IF(OR(A160="",B160=0),"-",C160/B160)</f>
        <v/>
      </c>
      <c r="F160" s="117">
        <f>IF(A160="","",SUMIF('Trade Log'!B:B,A160,'Trade Log'!N:N))</f>
        <v/>
      </c>
      <c r="G160" s="117">
        <f>IF(A160="","",SUM($F$3:F160))</f>
        <v/>
      </c>
    </row>
    <row r="161" ht="15" customHeight="1" s="75">
      <c r="A161" s="146" t="n"/>
      <c r="B161" s="115">
        <f>IF(A161="","",COUNTIF('Trade Log'!B:B,A161))</f>
        <v/>
      </c>
      <c r="C161" s="115">
        <f>IF(A161="","",COUNTIFS('Trade Log'!B:B,A161,'Trade Log'!Q:Q,"WIN"))</f>
        <v/>
      </c>
      <c r="D161" s="115">
        <f>IF(A161="","",COUNTIFS('Trade Log'!B:B,A161,'Trade Log'!Q:Q,"LOSS"))</f>
        <v/>
      </c>
      <c r="E161" s="116">
        <f>IF(OR(A161="",B161=0),"-",C161/B161)</f>
        <v/>
      </c>
      <c r="F161" s="117">
        <f>IF(A161="","",SUMIF('Trade Log'!B:B,A161,'Trade Log'!N:N))</f>
        <v/>
      </c>
      <c r="G161" s="117">
        <f>IF(A161="","",SUM($F$3:F161))</f>
        <v/>
      </c>
    </row>
    <row r="162" ht="15" customHeight="1" s="75">
      <c r="A162" s="146" t="n"/>
      <c r="B162" s="115">
        <f>IF(A162="","",COUNTIF('Trade Log'!B:B,A162))</f>
        <v/>
      </c>
      <c r="C162" s="115">
        <f>IF(A162="","",COUNTIFS('Trade Log'!B:B,A162,'Trade Log'!Q:Q,"WIN"))</f>
        <v/>
      </c>
      <c r="D162" s="115">
        <f>IF(A162="","",COUNTIFS('Trade Log'!B:B,A162,'Trade Log'!Q:Q,"LOSS"))</f>
        <v/>
      </c>
      <c r="E162" s="116">
        <f>IF(OR(A162="",B162=0),"-",C162/B162)</f>
        <v/>
      </c>
      <c r="F162" s="117">
        <f>IF(A162="","",SUMIF('Trade Log'!B:B,A162,'Trade Log'!N:N))</f>
        <v/>
      </c>
      <c r="G162" s="117">
        <f>IF(A162="","",SUM($F$3:F162))</f>
        <v/>
      </c>
    </row>
    <row r="163" ht="15" customHeight="1" s="75">
      <c r="A163" s="146" t="n"/>
      <c r="B163" s="115">
        <f>IF(A163="","",COUNTIF('Trade Log'!B:B,A163))</f>
        <v/>
      </c>
      <c r="C163" s="115">
        <f>IF(A163="","",COUNTIFS('Trade Log'!B:B,A163,'Trade Log'!Q:Q,"WIN"))</f>
        <v/>
      </c>
      <c r="D163" s="115">
        <f>IF(A163="","",COUNTIFS('Trade Log'!B:B,A163,'Trade Log'!Q:Q,"LOSS"))</f>
        <v/>
      </c>
      <c r="E163" s="116">
        <f>IF(OR(A163="",B163=0),"-",C163/B163)</f>
        <v/>
      </c>
      <c r="F163" s="117">
        <f>IF(A163="","",SUMIF('Trade Log'!B:B,A163,'Trade Log'!N:N))</f>
        <v/>
      </c>
      <c r="G163" s="117">
        <f>IF(A163="","",SUM($F$3:F163))</f>
        <v/>
      </c>
    </row>
    <row r="164" ht="15" customHeight="1" s="75">
      <c r="A164" s="146" t="n"/>
      <c r="B164" s="115">
        <f>IF(A164="","",COUNTIF('Trade Log'!B:B,A164))</f>
        <v/>
      </c>
      <c r="C164" s="115">
        <f>IF(A164="","",COUNTIFS('Trade Log'!B:B,A164,'Trade Log'!Q:Q,"WIN"))</f>
        <v/>
      </c>
      <c r="D164" s="115">
        <f>IF(A164="","",COUNTIFS('Trade Log'!B:B,A164,'Trade Log'!Q:Q,"LOSS"))</f>
        <v/>
      </c>
      <c r="E164" s="116">
        <f>IF(OR(A164="",B164=0),"-",C164/B164)</f>
        <v/>
      </c>
      <c r="F164" s="117">
        <f>IF(A164="","",SUMIF('Trade Log'!B:B,A164,'Trade Log'!N:N))</f>
        <v/>
      </c>
      <c r="G164" s="117">
        <f>IF(A164="","",SUM($F$3:F164))</f>
        <v/>
      </c>
    </row>
    <row r="165" ht="15" customHeight="1" s="75">
      <c r="A165" s="146" t="n"/>
      <c r="B165" s="115">
        <f>IF(A165="","",COUNTIF('Trade Log'!B:B,A165))</f>
        <v/>
      </c>
      <c r="C165" s="115">
        <f>IF(A165="","",COUNTIFS('Trade Log'!B:B,A165,'Trade Log'!Q:Q,"WIN"))</f>
        <v/>
      </c>
      <c r="D165" s="115">
        <f>IF(A165="","",COUNTIFS('Trade Log'!B:B,A165,'Trade Log'!Q:Q,"LOSS"))</f>
        <v/>
      </c>
      <c r="E165" s="116">
        <f>IF(OR(A165="",B165=0),"-",C165/B165)</f>
        <v/>
      </c>
      <c r="F165" s="117">
        <f>IF(A165="","",SUMIF('Trade Log'!B:B,A165,'Trade Log'!N:N))</f>
        <v/>
      </c>
      <c r="G165" s="117">
        <f>IF(A165="","",SUM($F$3:F165))</f>
        <v/>
      </c>
    </row>
    <row r="166" ht="15" customHeight="1" s="75">
      <c r="A166" s="146" t="n"/>
      <c r="B166" s="115">
        <f>IF(A166="","",COUNTIF('Trade Log'!B:B,A166))</f>
        <v/>
      </c>
      <c r="C166" s="115">
        <f>IF(A166="","",COUNTIFS('Trade Log'!B:B,A166,'Trade Log'!Q:Q,"WIN"))</f>
        <v/>
      </c>
      <c r="D166" s="115">
        <f>IF(A166="","",COUNTIFS('Trade Log'!B:B,A166,'Trade Log'!Q:Q,"LOSS"))</f>
        <v/>
      </c>
      <c r="E166" s="116">
        <f>IF(OR(A166="",B166=0),"-",C166/B166)</f>
        <v/>
      </c>
      <c r="F166" s="117">
        <f>IF(A166="","",SUMIF('Trade Log'!B:B,A166,'Trade Log'!N:N))</f>
        <v/>
      </c>
      <c r="G166" s="117">
        <f>IF(A166="","",SUM($F$3:F166))</f>
        <v/>
      </c>
    </row>
    <row r="167" ht="15" customHeight="1" s="75">
      <c r="A167" s="146" t="n"/>
      <c r="B167" s="115">
        <f>IF(A167="","",COUNTIF('Trade Log'!B:B,A167))</f>
        <v/>
      </c>
      <c r="C167" s="115">
        <f>IF(A167="","",COUNTIFS('Trade Log'!B:B,A167,'Trade Log'!Q:Q,"WIN"))</f>
        <v/>
      </c>
      <c r="D167" s="115">
        <f>IF(A167="","",COUNTIFS('Trade Log'!B:B,A167,'Trade Log'!Q:Q,"LOSS"))</f>
        <v/>
      </c>
      <c r="E167" s="116">
        <f>IF(OR(A167="",B167=0),"-",C167/B167)</f>
        <v/>
      </c>
      <c r="F167" s="117">
        <f>IF(A167="","",SUMIF('Trade Log'!B:B,A167,'Trade Log'!N:N))</f>
        <v/>
      </c>
      <c r="G167" s="117">
        <f>IF(A167="","",SUM($F$3:F167))</f>
        <v/>
      </c>
    </row>
    <row r="168" ht="15" customHeight="1" s="75">
      <c r="A168" s="146" t="n"/>
      <c r="B168" s="115">
        <f>IF(A168="","",COUNTIF('Trade Log'!B:B,A168))</f>
        <v/>
      </c>
      <c r="C168" s="115">
        <f>IF(A168="","",COUNTIFS('Trade Log'!B:B,A168,'Trade Log'!Q:Q,"WIN"))</f>
        <v/>
      </c>
      <c r="D168" s="115">
        <f>IF(A168="","",COUNTIFS('Trade Log'!B:B,A168,'Trade Log'!Q:Q,"LOSS"))</f>
        <v/>
      </c>
      <c r="E168" s="116">
        <f>IF(OR(A168="",B168=0),"-",C168/B168)</f>
        <v/>
      </c>
      <c r="F168" s="117">
        <f>IF(A168="","",SUMIF('Trade Log'!B:B,A168,'Trade Log'!N:N))</f>
        <v/>
      </c>
      <c r="G168" s="117">
        <f>IF(A168="","",SUM($F$3:F168))</f>
        <v/>
      </c>
    </row>
    <row r="169" ht="15" customHeight="1" s="75">
      <c r="A169" s="146" t="n"/>
      <c r="B169" s="115">
        <f>IF(A169="","",COUNTIF('Trade Log'!B:B,A169))</f>
        <v/>
      </c>
      <c r="C169" s="115">
        <f>IF(A169="","",COUNTIFS('Trade Log'!B:B,A169,'Trade Log'!Q:Q,"WIN"))</f>
        <v/>
      </c>
      <c r="D169" s="115">
        <f>IF(A169="","",COUNTIFS('Trade Log'!B:B,A169,'Trade Log'!Q:Q,"LOSS"))</f>
        <v/>
      </c>
      <c r="E169" s="116">
        <f>IF(OR(A169="",B169=0),"-",C169/B169)</f>
        <v/>
      </c>
      <c r="F169" s="117">
        <f>IF(A169="","",SUMIF('Trade Log'!B:B,A169,'Trade Log'!N:N))</f>
        <v/>
      </c>
      <c r="G169" s="117">
        <f>IF(A169="","",SUM($F$3:F169))</f>
        <v/>
      </c>
    </row>
    <row r="170" ht="15" customHeight="1" s="75">
      <c r="A170" s="146" t="n"/>
      <c r="B170" s="115">
        <f>IF(A170="","",COUNTIF('Trade Log'!B:B,A170))</f>
        <v/>
      </c>
      <c r="C170" s="115">
        <f>IF(A170="","",COUNTIFS('Trade Log'!B:B,A170,'Trade Log'!Q:Q,"WIN"))</f>
        <v/>
      </c>
      <c r="D170" s="115">
        <f>IF(A170="","",COUNTIFS('Trade Log'!B:B,A170,'Trade Log'!Q:Q,"LOSS"))</f>
        <v/>
      </c>
      <c r="E170" s="116">
        <f>IF(OR(A170="",B170=0),"-",C170/B170)</f>
        <v/>
      </c>
      <c r="F170" s="117">
        <f>IF(A170="","",SUMIF('Trade Log'!B:B,A170,'Trade Log'!N:N))</f>
        <v/>
      </c>
      <c r="G170" s="117">
        <f>IF(A170="","",SUM($F$3:F170))</f>
        <v/>
      </c>
    </row>
    <row r="171" ht="15" customHeight="1" s="75">
      <c r="A171" s="146" t="n"/>
      <c r="B171" s="115">
        <f>IF(A171="","",COUNTIF('Trade Log'!B:B,A171))</f>
        <v/>
      </c>
      <c r="C171" s="115">
        <f>IF(A171="","",COUNTIFS('Trade Log'!B:B,A171,'Trade Log'!Q:Q,"WIN"))</f>
        <v/>
      </c>
      <c r="D171" s="115">
        <f>IF(A171="","",COUNTIFS('Trade Log'!B:B,A171,'Trade Log'!Q:Q,"LOSS"))</f>
        <v/>
      </c>
      <c r="E171" s="116">
        <f>IF(OR(A171="",B171=0),"-",C171/B171)</f>
        <v/>
      </c>
      <c r="F171" s="117">
        <f>IF(A171="","",SUMIF('Trade Log'!B:B,A171,'Trade Log'!N:N))</f>
        <v/>
      </c>
      <c r="G171" s="117">
        <f>IF(A171="","",SUM($F$3:F171))</f>
        <v/>
      </c>
    </row>
    <row r="172" ht="15" customHeight="1" s="75">
      <c r="A172" s="146" t="n"/>
      <c r="B172" s="115">
        <f>IF(A172="","",COUNTIF('Trade Log'!B:B,A172))</f>
        <v/>
      </c>
      <c r="C172" s="115">
        <f>IF(A172="","",COUNTIFS('Trade Log'!B:B,A172,'Trade Log'!Q:Q,"WIN"))</f>
        <v/>
      </c>
      <c r="D172" s="115">
        <f>IF(A172="","",COUNTIFS('Trade Log'!B:B,A172,'Trade Log'!Q:Q,"LOSS"))</f>
        <v/>
      </c>
      <c r="E172" s="116">
        <f>IF(OR(A172="",B172=0),"-",C172/B172)</f>
        <v/>
      </c>
      <c r="F172" s="117">
        <f>IF(A172="","",SUMIF('Trade Log'!B:B,A172,'Trade Log'!N:N))</f>
        <v/>
      </c>
      <c r="G172" s="117">
        <f>IF(A172="","",SUM($F$3:F172))</f>
        <v/>
      </c>
    </row>
    <row r="173" ht="15" customHeight="1" s="75">
      <c r="A173" s="146" t="n"/>
      <c r="B173" s="115">
        <f>IF(A173="","",COUNTIF('Trade Log'!B:B,A173))</f>
        <v/>
      </c>
      <c r="C173" s="115">
        <f>IF(A173="","",COUNTIFS('Trade Log'!B:B,A173,'Trade Log'!Q:Q,"WIN"))</f>
        <v/>
      </c>
      <c r="D173" s="115">
        <f>IF(A173="","",COUNTIFS('Trade Log'!B:B,A173,'Trade Log'!Q:Q,"LOSS"))</f>
        <v/>
      </c>
      <c r="E173" s="116">
        <f>IF(OR(A173="",B173=0),"-",C173/B173)</f>
        <v/>
      </c>
      <c r="F173" s="117">
        <f>IF(A173="","",SUMIF('Trade Log'!B:B,A173,'Trade Log'!N:N))</f>
        <v/>
      </c>
      <c r="G173" s="117">
        <f>IF(A173="","",SUM($F$3:F173))</f>
        <v/>
      </c>
    </row>
    <row r="174" ht="15" customHeight="1" s="75">
      <c r="A174" s="146" t="n"/>
      <c r="B174" s="115">
        <f>IF(A174="","",COUNTIF('Trade Log'!B:B,A174))</f>
        <v/>
      </c>
      <c r="C174" s="115">
        <f>IF(A174="","",COUNTIFS('Trade Log'!B:B,A174,'Trade Log'!Q:Q,"WIN"))</f>
        <v/>
      </c>
      <c r="D174" s="115">
        <f>IF(A174="","",COUNTIFS('Trade Log'!B:B,A174,'Trade Log'!Q:Q,"LOSS"))</f>
        <v/>
      </c>
      <c r="E174" s="116">
        <f>IF(OR(A174="",B174=0),"-",C174/B174)</f>
        <v/>
      </c>
      <c r="F174" s="117">
        <f>IF(A174="","",SUMIF('Trade Log'!B:B,A174,'Trade Log'!N:N))</f>
        <v/>
      </c>
      <c r="G174" s="117">
        <f>IF(A174="","",SUM($F$3:F174))</f>
        <v/>
      </c>
    </row>
    <row r="175" ht="15" customHeight="1" s="75">
      <c r="A175" s="146" t="n"/>
      <c r="B175" s="115">
        <f>IF(A175="","",COUNTIF('Trade Log'!B:B,A175))</f>
        <v/>
      </c>
      <c r="C175" s="115">
        <f>IF(A175="","",COUNTIFS('Trade Log'!B:B,A175,'Trade Log'!Q:Q,"WIN"))</f>
        <v/>
      </c>
      <c r="D175" s="115">
        <f>IF(A175="","",COUNTIFS('Trade Log'!B:B,A175,'Trade Log'!Q:Q,"LOSS"))</f>
        <v/>
      </c>
      <c r="E175" s="116">
        <f>IF(OR(A175="",B175=0),"-",C175/B175)</f>
        <v/>
      </c>
      <c r="F175" s="117">
        <f>IF(A175="","",SUMIF('Trade Log'!B:B,A175,'Trade Log'!N:N))</f>
        <v/>
      </c>
      <c r="G175" s="117">
        <f>IF(A175="","",SUM($F$3:F175))</f>
        <v/>
      </c>
    </row>
    <row r="176" ht="15" customHeight="1" s="75">
      <c r="A176" s="146" t="n"/>
      <c r="B176" s="115">
        <f>IF(A176="","",COUNTIF('Trade Log'!B:B,A176))</f>
        <v/>
      </c>
      <c r="C176" s="115">
        <f>IF(A176="","",COUNTIFS('Trade Log'!B:B,A176,'Trade Log'!Q:Q,"WIN"))</f>
        <v/>
      </c>
      <c r="D176" s="115">
        <f>IF(A176="","",COUNTIFS('Trade Log'!B:B,A176,'Trade Log'!Q:Q,"LOSS"))</f>
        <v/>
      </c>
      <c r="E176" s="116">
        <f>IF(OR(A176="",B176=0),"-",C176/B176)</f>
        <v/>
      </c>
      <c r="F176" s="117">
        <f>IF(A176="","",SUMIF('Trade Log'!B:B,A176,'Trade Log'!N:N))</f>
        <v/>
      </c>
      <c r="G176" s="117">
        <f>IF(A176="","",SUM($F$3:F176))</f>
        <v/>
      </c>
    </row>
    <row r="177" ht="15" customHeight="1" s="75">
      <c r="A177" s="146" t="n"/>
      <c r="B177" s="115">
        <f>IF(A177="","",COUNTIF('Trade Log'!B:B,A177))</f>
        <v/>
      </c>
      <c r="C177" s="115">
        <f>IF(A177="","",COUNTIFS('Trade Log'!B:B,A177,'Trade Log'!Q:Q,"WIN"))</f>
        <v/>
      </c>
      <c r="D177" s="115">
        <f>IF(A177="","",COUNTIFS('Trade Log'!B:B,A177,'Trade Log'!Q:Q,"LOSS"))</f>
        <v/>
      </c>
      <c r="E177" s="116">
        <f>IF(OR(A177="",B177=0),"-",C177/B177)</f>
        <v/>
      </c>
      <c r="F177" s="117">
        <f>IF(A177="","",SUMIF('Trade Log'!B:B,A177,'Trade Log'!N:N))</f>
        <v/>
      </c>
      <c r="G177" s="117">
        <f>IF(A177="","",SUM($F$3:F177))</f>
        <v/>
      </c>
    </row>
    <row r="178" ht="15" customHeight="1" s="75">
      <c r="A178" s="146" t="n"/>
      <c r="B178" s="115">
        <f>IF(A178="","",COUNTIF('Trade Log'!B:B,A178))</f>
        <v/>
      </c>
      <c r="C178" s="115">
        <f>IF(A178="","",COUNTIFS('Trade Log'!B:B,A178,'Trade Log'!Q:Q,"WIN"))</f>
        <v/>
      </c>
      <c r="D178" s="115">
        <f>IF(A178="","",COUNTIFS('Trade Log'!B:B,A178,'Trade Log'!Q:Q,"LOSS"))</f>
        <v/>
      </c>
      <c r="E178" s="116">
        <f>IF(OR(A178="",B178=0),"-",C178/B178)</f>
        <v/>
      </c>
      <c r="F178" s="117">
        <f>IF(A178="","",SUMIF('Trade Log'!B:B,A178,'Trade Log'!N:N))</f>
        <v/>
      </c>
      <c r="G178" s="117">
        <f>IF(A178="","",SUM($F$3:F178))</f>
        <v/>
      </c>
    </row>
    <row r="179" ht="15" customHeight="1" s="75">
      <c r="A179" s="146" t="n"/>
      <c r="B179" s="115">
        <f>IF(A179="","",COUNTIF('Trade Log'!B:B,A179))</f>
        <v/>
      </c>
      <c r="C179" s="115">
        <f>IF(A179="","",COUNTIFS('Trade Log'!B:B,A179,'Trade Log'!Q:Q,"WIN"))</f>
        <v/>
      </c>
      <c r="D179" s="115">
        <f>IF(A179="","",COUNTIFS('Trade Log'!B:B,A179,'Trade Log'!Q:Q,"LOSS"))</f>
        <v/>
      </c>
      <c r="E179" s="116">
        <f>IF(OR(A179="",B179=0),"-",C179/B179)</f>
        <v/>
      </c>
      <c r="F179" s="117">
        <f>IF(A179="","",SUMIF('Trade Log'!B:B,A179,'Trade Log'!N:N))</f>
        <v/>
      </c>
      <c r="G179" s="117">
        <f>IF(A179="","",SUM($F$3:F179))</f>
        <v/>
      </c>
    </row>
    <row r="180" ht="15" customHeight="1" s="75">
      <c r="A180" s="146" t="n"/>
      <c r="B180" s="115">
        <f>IF(A180="","",COUNTIF('Trade Log'!B:B,A180))</f>
        <v/>
      </c>
      <c r="C180" s="115">
        <f>IF(A180="","",COUNTIFS('Trade Log'!B:B,A180,'Trade Log'!Q:Q,"WIN"))</f>
        <v/>
      </c>
      <c r="D180" s="115">
        <f>IF(A180="","",COUNTIFS('Trade Log'!B:B,A180,'Trade Log'!Q:Q,"LOSS"))</f>
        <v/>
      </c>
      <c r="E180" s="116">
        <f>IF(OR(A180="",B180=0),"-",C180/B180)</f>
        <v/>
      </c>
      <c r="F180" s="117">
        <f>IF(A180="","",SUMIF('Trade Log'!B:B,A180,'Trade Log'!N:N))</f>
        <v/>
      </c>
      <c r="G180" s="117">
        <f>IF(A180="","",SUM($F$3:F180))</f>
        <v/>
      </c>
    </row>
    <row r="181" ht="15" customHeight="1" s="75">
      <c r="A181" s="146" t="n"/>
      <c r="B181" s="115">
        <f>IF(A181="","",COUNTIF('Trade Log'!B:B,A181))</f>
        <v/>
      </c>
      <c r="C181" s="115">
        <f>IF(A181="","",COUNTIFS('Trade Log'!B:B,A181,'Trade Log'!Q:Q,"WIN"))</f>
        <v/>
      </c>
      <c r="D181" s="115">
        <f>IF(A181="","",COUNTIFS('Trade Log'!B:B,A181,'Trade Log'!Q:Q,"LOSS"))</f>
        <v/>
      </c>
      <c r="E181" s="116">
        <f>IF(OR(A181="",B181=0),"-",C181/B181)</f>
        <v/>
      </c>
      <c r="F181" s="117">
        <f>IF(A181="","",SUMIF('Trade Log'!B:B,A181,'Trade Log'!N:N))</f>
        <v/>
      </c>
      <c r="G181" s="117">
        <f>IF(A181="","",SUM($F$3:F181))</f>
        <v/>
      </c>
    </row>
    <row r="182" ht="15" customHeight="1" s="75">
      <c r="A182" s="146" t="n"/>
      <c r="B182" s="115">
        <f>IF(A182="","",COUNTIF('Trade Log'!B:B,A182))</f>
        <v/>
      </c>
      <c r="C182" s="115">
        <f>IF(A182="","",COUNTIFS('Trade Log'!B:B,A182,'Trade Log'!Q:Q,"WIN"))</f>
        <v/>
      </c>
      <c r="D182" s="115">
        <f>IF(A182="","",COUNTIFS('Trade Log'!B:B,A182,'Trade Log'!Q:Q,"LOSS"))</f>
        <v/>
      </c>
      <c r="E182" s="116">
        <f>IF(OR(A182="",B182=0),"-",C182/B182)</f>
        <v/>
      </c>
      <c r="F182" s="117">
        <f>IF(A182="","",SUMIF('Trade Log'!B:B,A182,'Trade Log'!N:N))</f>
        <v/>
      </c>
      <c r="G182" s="117">
        <f>IF(A182="","",SUM($F$3:F182))</f>
        <v/>
      </c>
    </row>
    <row r="183" ht="15" customHeight="1" s="75">
      <c r="A183" s="146" t="n"/>
      <c r="B183" s="115">
        <f>IF(A183="","",COUNTIF('Trade Log'!B:B,A183))</f>
        <v/>
      </c>
      <c r="C183" s="115">
        <f>IF(A183="","",COUNTIFS('Trade Log'!B:B,A183,'Trade Log'!Q:Q,"WIN"))</f>
        <v/>
      </c>
      <c r="D183" s="115">
        <f>IF(A183="","",COUNTIFS('Trade Log'!B:B,A183,'Trade Log'!Q:Q,"LOSS"))</f>
        <v/>
      </c>
      <c r="E183" s="116">
        <f>IF(OR(A183="",B183=0),"-",C183/B183)</f>
        <v/>
      </c>
      <c r="F183" s="117">
        <f>IF(A183="","",SUMIF('Trade Log'!B:B,A183,'Trade Log'!N:N))</f>
        <v/>
      </c>
      <c r="G183" s="117">
        <f>IF(A183="","",SUM($F$3:F183))</f>
        <v/>
      </c>
    </row>
    <row r="184" ht="15" customHeight="1" s="75">
      <c r="A184" s="146" t="n"/>
      <c r="B184" s="115">
        <f>IF(A184="","",COUNTIF('Trade Log'!B:B,A184))</f>
        <v/>
      </c>
      <c r="C184" s="115">
        <f>IF(A184="","",COUNTIFS('Trade Log'!B:B,A184,'Trade Log'!Q:Q,"WIN"))</f>
        <v/>
      </c>
      <c r="D184" s="115">
        <f>IF(A184="","",COUNTIFS('Trade Log'!B:B,A184,'Trade Log'!Q:Q,"LOSS"))</f>
        <v/>
      </c>
      <c r="E184" s="116">
        <f>IF(OR(A184="",B184=0),"-",C184/B184)</f>
        <v/>
      </c>
      <c r="F184" s="117">
        <f>IF(A184="","",SUMIF('Trade Log'!B:B,A184,'Trade Log'!N:N))</f>
        <v/>
      </c>
      <c r="G184" s="117">
        <f>IF(A184="","",SUM($F$3:F184))</f>
        <v/>
      </c>
    </row>
    <row r="185" ht="15" customHeight="1" s="75">
      <c r="A185" s="146" t="n"/>
      <c r="B185" s="115">
        <f>IF(A185="","",COUNTIF('Trade Log'!B:B,A185))</f>
        <v/>
      </c>
      <c r="C185" s="115">
        <f>IF(A185="","",COUNTIFS('Trade Log'!B:B,A185,'Trade Log'!Q:Q,"WIN"))</f>
        <v/>
      </c>
      <c r="D185" s="115">
        <f>IF(A185="","",COUNTIFS('Trade Log'!B:B,A185,'Trade Log'!Q:Q,"LOSS"))</f>
        <v/>
      </c>
      <c r="E185" s="116">
        <f>IF(OR(A185="",B185=0),"-",C185/B185)</f>
        <v/>
      </c>
      <c r="F185" s="117">
        <f>IF(A185="","",SUMIF('Trade Log'!B:B,A185,'Trade Log'!N:N))</f>
        <v/>
      </c>
      <c r="G185" s="117">
        <f>IF(A185="","",SUM($F$3:F185))</f>
        <v/>
      </c>
    </row>
    <row r="186" ht="15" customHeight="1" s="75">
      <c r="A186" s="146" t="n"/>
      <c r="B186" s="115">
        <f>IF(A186="","",COUNTIF('Trade Log'!B:B,A186))</f>
        <v/>
      </c>
      <c r="C186" s="115">
        <f>IF(A186="","",COUNTIFS('Trade Log'!B:B,A186,'Trade Log'!Q:Q,"WIN"))</f>
        <v/>
      </c>
      <c r="D186" s="115">
        <f>IF(A186="","",COUNTIFS('Trade Log'!B:B,A186,'Trade Log'!Q:Q,"LOSS"))</f>
        <v/>
      </c>
      <c r="E186" s="116">
        <f>IF(OR(A186="",B186=0),"-",C186/B186)</f>
        <v/>
      </c>
      <c r="F186" s="117">
        <f>IF(A186="","",SUMIF('Trade Log'!B:B,A186,'Trade Log'!N:N))</f>
        <v/>
      </c>
      <c r="G186" s="117">
        <f>IF(A186="","",SUM($F$3:F186))</f>
        <v/>
      </c>
    </row>
    <row r="187" ht="15" customHeight="1" s="75">
      <c r="A187" s="146" t="n"/>
      <c r="B187" s="115">
        <f>IF(A187="","",COUNTIF('Trade Log'!B:B,A187))</f>
        <v/>
      </c>
      <c r="C187" s="115">
        <f>IF(A187="","",COUNTIFS('Trade Log'!B:B,A187,'Trade Log'!Q:Q,"WIN"))</f>
        <v/>
      </c>
      <c r="D187" s="115">
        <f>IF(A187="","",COUNTIFS('Trade Log'!B:B,A187,'Trade Log'!Q:Q,"LOSS"))</f>
        <v/>
      </c>
      <c r="E187" s="116">
        <f>IF(OR(A187="",B187=0),"-",C187/B187)</f>
        <v/>
      </c>
      <c r="F187" s="117">
        <f>IF(A187="","",SUMIF('Trade Log'!B:B,A187,'Trade Log'!N:N))</f>
        <v/>
      </c>
      <c r="G187" s="117">
        <f>IF(A187="","",SUM($F$3:F187))</f>
        <v/>
      </c>
    </row>
    <row r="188" ht="15" customHeight="1" s="75">
      <c r="A188" s="146" t="n"/>
      <c r="B188" s="115">
        <f>IF(A188="","",COUNTIF('Trade Log'!B:B,A188))</f>
        <v/>
      </c>
      <c r="C188" s="115">
        <f>IF(A188="","",COUNTIFS('Trade Log'!B:B,A188,'Trade Log'!Q:Q,"WIN"))</f>
        <v/>
      </c>
      <c r="D188" s="115">
        <f>IF(A188="","",COUNTIFS('Trade Log'!B:B,A188,'Trade Log'!Q:Q,"LOSS"))</f>
        <v/>
      </c>
      <c r="E188" s="116">
        <f>IF(OR(A188="",B188=0),"-",C188/B188)</f>
        <v/>
      </c>
      <c r="F188" s="117">
        <f>IF(A188="","",SUMIF('Trade Log'!B:B,A188,'Trade Log'!N:N))</f>
        <v/>
      </c>
      <c r="G188" s="117">
        <f>IF(A188="","",SUM($F$3:F188))</f>
        <v/>
      </c>
    </row>
    <row r="189" ht="15" customHeight="1" s="75">
      <c r="A189" s="146" t="n"/>
      <c r="B189" s="115">
        <f>IF(A189="","",COUNTIF('Trade Log'!B:B,A189))</f>
        <v/>
      </c>
      <c r="C189" s="115">
        <f>IF(A189="","",COUNTIFS('Trade Log'!B:B,A189,'Trade Log'!Q:Q,"WIN"))</f>
        <v/>
      </c>
      <c r="D189" s="115">
        <f>IF(A189="","",COUNTIFS('Trade Log'!B:B,A189,'Trade Log'!Q:Q,"LOSS"))</f>
        <v/>
      </c>
      <c r="E189" s="116">
        <f>IF(OR(A189="",B189=0),"-",C189/B189)</f>
        <v/>
      </c>
      <c r="F189" s="117">
        <f>IF(A189="","",SUMIF('Trade Log'!B:B,A189,'Trade Log'!N:N))</f>
        <v/>
      </c>
      <c r="G189" s="117">
        <f>IF(A189="","",SUM($F$3:F189))</f>
        <v/>
      </c>
    </row>
    <row r="190" ht="15" customHeight="1" s="75">
      <c r="A190" s="146" t="n"/>
      <c r="B190" s="115">
        <f>IF(A190="","",COUNTIF('Trade Log'!B:B,A190))</f>
        <v/>
      </c>
      <c r="C190" s="115">
        <f>IF(A190="","",COUNTIFS('Trade Log'!B:B,A190,'Trade Log'!Q:Q,"WIN"))</f>
        <v/>
      </c>
      <c r="D190" s="115">
        <f>IF(A190="","",COUNTIFS('Trade Log'!B:B,A190,'Trade Log'!Q:Q,"LOSS"))</f>
        <v/>
      </c>
      <c r="E190" s="116">
        <f>IF(OR(A190="",B190=0),"-",C190/B190)</f>
        <v/>
      </c>
      <c r="F190" s="117">
        <f>IF(A190="","",SUMIF('Trade Log'!B:B,A190,'Trade Log'!N:N))</f>
        <v/>
      </c>
      <c r="G190" s="117">
        <f>IF(A190="","",SUM($F$3:F190))</f>
        <v/>
      </c>
    </row>
    <row r="191" ht="15" customHeight="1" s="75">
      <c r="A191" s="146" t="n"/>
      <c r="B191" s="115">
        <f>IF(A191="","",COUNTIF('Trade Log'!B:B,A191))</f>
        <v/>
      </c>
      <c r="C191" s="115">
        <f>IF(A191="","",COUNTIFS('Trade Log'!B:B,A191,'Trade Log'!Q:Q,"WIN"))</f>
        <v/>
      </c>
      <c r="D191" s="115">
        <f>IF(A191="","",COUNTIFS('Trade Log'!B:B,A191,'Trade Log'!Q:Q,"LOSS"))</f>
        <v/>
      </c>
      <c r="E191" s="116">
        <f>IF(OR(A191="",B191=0),"-",C191/B191)</f>
        <v/>
      </c>
      <c r="F191" s="117">
        <f>IF(A191="","",SUMIF('Trade Log'!B:B,A191,'Trade Log'!N:N))</f>
        <v/>
      </c>
      <c r="G191" s="117">
        <f>IF(A191="","",SUM($F$3:F191))</f>
        <v/>
      </c>
    </row>
    <row r="192" ht="15" customHeight="1" s="75">
      <c r="A192" s="146" t="n"/>
      <c r="B192" s="115">
        <f>IF(A192="","",COUNTIF('Trade Log'!B:B,A192))</f>
        <v/>
      </c>
      <c r="C192" s="115">
        <f>IF(A192="","",COUNTIFS('Trade Log'!B:B,A192,'Trade Log'!Q:Q,"WIN"))</f>
        <v/>
      </c>
      <c r="D192" s="115">
        <f>IF(A192="","",COUNTIFS('Trade Log'!B:B,A192,'Trade Log'!Q:Q,"LOSS"))</f>
        <v/>
      </c>
      <c r="E192" s="116">
        <f>IF(OR(A192="",B192=0),"-",C192/B192)</f>
        <v/>
      </c>
      <c r="F192" s="117">
        <f>IF(A192="","",SUMIF('Trade Log'!B:B,A192,'Trade Log'!N:N))</f>
        <v/>
      </c>
      <c r="G192" s="117">
        <f>IF(A192="","",SUM($F$3:F192))</f>
        <v/>
      </c>
    </row>
    <row r="193" ht="15" customHeight="1" s="75">
      <c r="A193" s="146" t="n"/>
      <c r="B193" s="115">
        <f>IF(A193="","",COUNTIF('Trade Log'!B:B,A193))</f>
        <v/>
      </c>
      <c r="C193" s="115">
        <f>IF(A193="","",COUNTIFS('Trade Log'!B:B,A193,'Trade Log'!Q:Q,"WIN"))</f>
        <v/>
      </c>
      <c r="D193" s="115">
        <f>IF(A193="","",COUNTIFS('Trade Log'!B:B,A193,'Trade Log'!Q:Q,"LOSS"))</f>
        <v/>
      </c>
      <c r="E193" s="116">
        <f>IF(OR(A193="",B193=0),"-",C193/B193)</f>
        <v/>
      </c>
      <c r="F193" s="117">
        <f>IF(A193="","",SUMIF('Trade Log'!B:B,A193,'Trade Log'!N:N))</f>
        <v/>
      </c>
      <c r="G193" s="117">
        <f>IF(A193="","",SUM($F$3:F193))</f>
        <v/>
      </c>
    </row>
    <row r="194" ht="15" customHeight="1" s="75">
      <c r="A194" s="146" t="n"/>
      <c r="B194" s="115">
        <f>IF(A194="","",COUNTIF('Trade Log'!B:B,A194))</f>
        <v/>
      </c>
      <c r="C194" s="115">
        <f>IF(A194="","",COUNTIFS('Trade Log'!B:B,A194,'Trade Log'!Q:Q,"WIN"))</f>
        <v/>
      </c>
      <c r="D194" s="115">
        <f>IF(A194="","",COUNTIFS('Trade Log'!B:B,A194,'Trade Log'!Q:Q,"LOSS"))</f>
        <v/>
      </c>
      <c r="E194" s="116">
        <f>IF(OR(A194="",B194=0),"-",C194/B194)</f>
        <v/>
      </c>
      <c r="F194" s="117">
        <f>IF(A194="","",SUMIF('Trade Log'!B:B,A194,'Trade Log'!N:N))</f>
        <v/>
      </c>
      <c r="G194" s="117">
        <f>IF(A194="","",SUM($F$3:F194))</f>
        <v/>
      </c>
    </row>
    <row r="195" ht="15" customHeight="1" s="75">
      <c r="A195" s="146" t="n"/>
      <c r="B195" s="115">
        <f>IF(A195="","",COUNTIF('Trade Log'!B:B,A195))</f>
        <v/>
      </c>
      <c r="C195" s="115">
        <f>IF(A195="","",COUNTIFS('Trade Log'!B:B,A195,'Trade Log'!Q:Q,"WIN"))</f>
        <v/>
      </c>
      <c r="D195" s="115">
        <f>IF(A195="","",COUNTIFS('Trade Log'!B:B,A195,'Trade Log'!Q:Q,"LOSS"))</f>
        <v/>
      </c>
      <c r="E195" s="116">
        <f>IF(OR(A195="",B195=0),"-",C195/B195)</f>
        <v/>
      </c>
      <c r="F195" s="117">
        <f>IF(A195="","",SUMIF('Trade Log'!B:B,A195,'Trade Log'!N:N))</f>
        <v/>
      </c>
      <c r="G195" s="117">
        <f>IF(A195="","",SUM($F$3:F195))</f>
        <v/>
      </c>
    </row>
    <row r="196" ht="15" customHeight="1" s="75">
      <c r="A196" s="146" t="n"/>
      <c r="B196" s="115">
        <f>IF(A196="","",COUNTIF('Trade Log'!B:B,A196))</f>
        <v/>
      </c>
      <c r="C196" s="115">
        <f>IF(A196="","",COUNTIFS('Trade Log'!B:B,A196,'Trade Log'!Q:Q,"WIN"))</f>
        <v/>
      </c>
      <c r="D196" s="115">
        <f>IF(A196="","",COUNTIFS('Trade Log'!B:B,A196,'Trade Log'!Q:Q,"LOSS"))</f>
        <v/>
      </c>
      <c r="E196" s="116">
        <f>IF(OR(A196="",B196=0),"-",C196/B196)</f>
        <v/>
      </c>
      <c r="F196" s="117">
        <f>IF(A196="","",SUMIF('Trade Log'!B:B,A196,'Trade Log'!N:N))</f>
        <v/>
      </c>
      <c r="G196" s="117">
        <f>IF(A196="","",SUM($F$3:F196))</f>
        <v/>
      </c>
    </row>
    <row r="197" ht="15" customHeight="1" s="75">
      <c r="A197" s="146" t="n"/>
      <c r="B197" s="115">
        <f>IF(A197="","",COUNTIF('Trade Log'!B:B,A197))</f>
        <v/>
      </c>
      <c r="C197" s="115">
        <f>IF(A197="","",COUNTIFS('Trade Log'!B:B,A197,'Trade Log'!Q:Q,"WIN"))</f>
        <v/>
      </c>
      <c r="D197" s="115">
        <f>IF(A197="","",COUNTIFS('Trade Log'!B:B,A197,'Trade Log'!Q:Q,"LOSS"))</f>
        <v/>
      </c>
      <c r="E197" s="116">
        <f>IF(OR(A197="",B197=0),"-",C197/B197)</f>
        <v/>
      </c>
      <c r="F197" s="117">
        <f>IF(A197="","",SUMIF('Trade Log'!B:B,A197,'Trade Log'!N:N))</f>
        <v/>
      </c>
      <c r="G197" s="117">
        <f>IF(A197="","",SUM($F$3:F197))</f>
        <v/>
      </c>
    </row>
    <row r="198" ht="15" customHeight="1" s="75">
      <c r="A198" s="146" t="n"/>
      <c r="B198" s="115">
        <f>IF(A198="","",COUNTIF('Trade Log'!B:B,A198))</f>
        <v/>
      </c>
      <c r="C198" s="115">
        <f>IF(A198="","",COUNTIFS('Trade Log'!B:B,A198,'Trade Log'!Q:Q,"WIN"))</f>
        <v/>
      </c>
      <c r="D198" s="115">
        <f>IF(A198="","",COUNTIFS('Trade Log'!B:B,A198,'Trade Log'!Q:Q,"LOSS"))</f>
        <v/>
      </c>
      <c r="E198" s="116">
        <f>IF(OR(A198="",B198=0),"-",C198/B198)</f>
        <v/>
      </c>
      <c r="F198" s="117">
        <f>IF(A198="","",SUMIF('Trade Log'!B:B,A198,'Trade Log'!N:N))</f>
        <v/>
      </c>
      <c r="G198" s="117">
        <f>IF(A198="","",SUM($F$3:F198))</f>
        <v/>
      </c>
    </row>
    <row r="199" ht="15" customHeight="1" s="75">
      <c r="A199" s="146" t="n"/>
      <c r="B199" s="115">
        <f>IF(A199="","",COUNTIF('Trade Log'!B:B,A199))</f>
        <v/>
      </c>
      <c r="C199" s="115">
        <f>IF(A199="","",COUNTIFS('Trade Log'!B:B,A199,'Trade Log'!Q:Q,"WIN"))</f>
        <v/>
      </c>
      <c r="D199" s="115">
        <f>IF(A199="","",COUNTIFS('Trade Log'!B:B,A199,'Trade Log'!Q:Q,"LOSS"))</f>
        <v/>
      </c>
      <c r="E199" s="116">
        <f>IF(OR(A199="",B199=0),"-",C199/B199)</f>
        <v/>
      </c>
      <c r="F199" s="117">
        <f>IF(A199="","",SUMIF('Trade Log'!B:B,A199,'Trade Log'!N:N))</f>
        <v/>
      </c>
      <c r="G199" s="117">
        <f>IF(A199="","",SUM($F$3:F199))</f>
        <v/>
      </c>
    </row>
    <row r="200" ht="15" customHeight="1" s="75">
      <c r="A200" s="146" t="n"/>
      <c r="B200" s="115">
        <f>IF(A200="","",COUNTIF('Trade Log'!B:B,A200))</f>
        <v/>
      </c>
      <c r="C200" s="115">
        <f>IF(A200="","",COUNTIFS('Trade Log'!B:B,A200,'Trade Log'!Q:Q,"WIN"))</f>
        <v/>
      </c>
      <c r="D200" s="115">
        <f>IF(A200="","",COUNTIFS('Trade Log'!B:B,A200,'Trade Log'!Q:Q,"LOSS"))</f>
        <v/>
      </c>
      <c r="E200" s="116">
        <f>IF(OR(A200="",B200=0),"-",C200/B200)</f>
        <v/>
      </c>
      <c r="F200" s="117">
        <f>IF(A200="","",SUMIF('Trade Log'!B:B,A200,'Trade Log'!N:N))</f>
        <v/>
      </c>
      <c r="G200" s="117">
        <f>IF(A200="","",SUM($F$3:F200))</f>
        <v/>
      </c>
    </row>
    <row r="201" ht="15" customHeight="1" s="75">
      <c r="A201" s="146" t="n"/>
      <c r="B201" s="115">
        <f>IF(A201="","",COUNTIF('Trade Log'!B:B,A201))</f>
        <v/>
      </c>
      <c r="C201" s="115">
        <f>IF(A201="","",COUNTIFS('Trade Log'!B:B,A201,'Trade Log'!Q:Q,"WIN"))</f>
        <v/>
      </c>
      <c r="D201" s="115">
        <f>IF(A201="","",COUNTIFS('Trade Log'!B:B,A201,'Trade Log'!Q:Q,"LOSS"))</f>
        <v/>
      </c>
      <c r="E201" s="116">
        <f>IF(OR(A201="",B201=0),"-",C201/B201)</f>
        <v/>
      </c>
      <c r="F201" s="117">
        <f>IF(A201="","",SUMIF('Trade Log'!B:B,A201,'Trade Log'!N:N))</f>
        <v/>
      </c>
      <c r="G201" s="117">
        <f>IF(A201="","",SUM($F$3:F201))</f>
        <v/>
      </c>
    </row>
    <row r="202" ht="15" customHeight="1" s="75">
      <c r="A202" s="146" t="n"/>
      <c r="B202" s="115">
        <f>IF(A202="","",COUNTIF('Trade Log'!B:B,A202))</f>
        <v/>
      </c>
      <c r="C202" s="115">
        <f>IF(A202="","",COUNTIFS('Trade Log'!B:B,A202,'Trade Log'!Q:Q,"WIN"))</f>
        <v/>
      </c>
      <c r="D202" s="115">
        <f>IF(A202="","",COUNTIFS('Trade Log'!B:B,A202,'Trade Log'!Q:Q,"LOSS"))</f>
        <v/>
      </c>
      <c r="E202" s="116">
        <f>IF(OR(A202="",B202=0),"-",C202/B202)</f>
        <v/>
      </c>
      <c r="F202" s="117">
        <f>IF(A202="","",SUMIF('Trade Log'!B:B,A202,'Trade Log'!N:N))</f>
        <v/>
      </c>
      <c r="G202" s="117">
        <f>IF(A202="","",SUM($F$3:F202))</f>
        <v/>
      </c>
    </row>
    <row r="203" ht="15" customHeight="1" s="75">
      <c r="A203" s="146" t="n"/>
      <c r="B203" s="115">
        <f>IF(A203="","",COUNTIF('Trade Log'!B:B,A203))</f>
        <v/>
      </c>
      <c r="C203" s="115">
        <f>IF(A203="","",COUNTIFS('Trade Log'!B:B,A203,'Trade Log'!Q:Q,"WIN"))</f>
        <v/>
      </c>
      <c r="D203" s="115">
        <f>IF(A203="","",COUNTIFS('Trade Log'!B:B,A203,'Trade Log'!Q:Q,"LOSS"))</f>
        <v/>
      </c>
      <c r="E203" s="116">
        <f>IF(OR(A203="",B203=0),"-",C203/B203)</f>
        <v/>
      </c>
      <c r="F203" s="117">
        <f>IF(A203="","",SUMIF('Trade Log'!B:B,A203,'Trade Log'!N:N))</f>
        <v/>
      </c>
      <c r="G203" s="117">
        <f>IF(A203="","",SUM($F$3:F203))</f>
        <v/>
      </c>
    </row>
    <row r="204" ht="15" customHeight="1" s="75">
      <c r="A204" s="146" t="n"/>
      <c r="B204" s="115">
        <f>IF(A204="","",COUNTIF('Trade Log'!B:B,A204))</f>
        <v/>
      </c>
      <c r="C204" s="115">
        <f>IF(A204="","",COUNTIFS('Trade Log'!B:B,A204,'Trade Log'!Q:Q,"WIN"))</f>
        <v/>
      </c>
      <c r="D204" s="115">
        <f>IF(A204="","",COUNTIFS('Trade Log'!B:B,A204,'Trade Log'!Q:Q,"LOSS"))</f>
        <v/>
      </c>
      <c r="E204" s="116">
        <f>IF(OR(A204="",B204=0),"-",C204/B204)</f>
        <v/>
      </c>
      <c r="F204" s="117">
        <f>IF(A204="","",SUMIF('Trade Log'!B:B,A204,'Trade Log'!N:N))</f>
        <v/>
      </c>
      <c r="G204" s="117">
        <f>IF(A204="","",SUM($F$3:F204))</f>
        <v/>
      </c>
    </row>
    <row r="205" ht="15" customHeight="1" s="75">
      <c r="A205" s="146" t="n"/>
      <c r="B205" s="115">
        <f>IF(A205="","",COUNTIF('Trade Log'!B:B,A205))</f>
        <v/>
      </c>
      <c r="C205" s="115">
        <f>IF(A205="","",COUNTIFS('Trade Log'!B:B,A205,'Trade Log'!Q:Q,"WIN"))</f>
        <v/>
      </c>
      <c r="D205" s="115">
        <f>IF(A205="","",COUNTIFS('Trade Log'!B:B,A205,'Trade Log'!Q:Q,"LOSS"))</f>
        <v/>
      </c>
      <c r="E205" s="116">
        <f>IF(OR(A205="",B205=0),"-",C205/B205)</f>
        <v/>
      </c>
      <c r="F205" s="117">
        <f>IF(A205="","",SUMIF('Trade Log'!B:B,A205,'Trade Log'!N:N))</f>
        <v/>
      </c>
      <c r="G205" s="117">
        <f>IF(A205="","",SUM($F$3:F205))</f>
        <v/>
      </c>
    </row>
    <row r="206" ht="15" customHeight="1" s="75">
      <c r="A206" s="146" t="n"/>
      <c r="B206" s="115">
        <f>IF(A206="","",COUNTIF('Trade Log'!B:B,A206))</f>
        <v/>
      </c>
      <c r="C206" s="115">
        <f>IF(A206="","",COUNTIFS('Trade Log'!B:B,A206,'Trade Log'!Q:Q,"WIN"))</f>
        <v/>
      </c>
      <c r="D206" s="115">
        <f>IF(A206="","",COUNTIFS('Trade Log'!B:B,A206,'Trade Log'!Q:Q,"LOSS"))</f>
        <v/>
      </c>
      <c r="E206" s="116">
        <f>IF(OR(A206="",B206=0),"-",C206/B206)</f>
        <v/>
      </c>
      <c r="F206" s="117">
        <f>IF(A206="","",SUMIF('Trade Log'!B:B,A206,'Trade Log'!N:N))</f>
        <v/>
      </c>
      <c r="G206" s="117">
        <f>IF(A206="","",SUM($F$3:F206))</f>
        <v/>
      </c>
    </row>
    <row r="207" ht="15" customHeight="1" s="75">
      <c r="A207" s="146" t="n"/>
      <c r="B207" s="115">
        <f>IF(A207="","",COUNTIF('Trade Log'!B:B,A207))</f>
        <v/>
      </c>
      <c r="C207" s="115">
        <f>IF(A207="","",COUNTIFS('Trade Log'!B:B,A207,'Trade Log'!Q:Q,"WIN"))</f>
        <v/>
      </c>
      <c r="D207" s="115">
        <f>IF(A207="","",COUNTIFS('Trade Log'!B:B,A207,'Trade Log'!Q:Q,"LOSS"))</f>
        <v/>
      </c>
      <c r="E207" s="116">
        <f>IF(OR(A207="",B207=0),"-",C207/B207)</f>
        <v/>
      </c>
      <c r="F207" s="117">
        <f>IF(A207="","",SUMIF('Trade Log'!B:B,A207,'Trade Log'!N:N))</f>
        <v/>
      </c>
      <c r="G207" s="117">
        <f>IF(A207="","",SUM($F$3:F207))</f>
        <v/>
      </c>
    </row>
    <row r="208" ht="15" customHeight="1" s="75">
      <c r="A208" s="146" t="n"/>
      <c r="B208" s="115">
        <f>IF(A208="","",COUNTIF('Trade Log'!B:B,A208))</f>
        <v/>
      </c>
      <c r="C208" s="115">
        <f>IF(A208="","",COUNTIFS('Trade Log'!B:B,A208,'Trade Log'!Q:Q,"WIN"))</f>
        <v/>
      </c>
      <c r="D208" s="115">
        <f>IF(A208="","",COUNTIFS('Trade Log'!B:B,A208,'Trade Log'!Q:Q,"LOSS"))</f>
        <v/>
      </c>
      <c r="E208" s="116">
        <f>IF(OR(A208="",B208=0),"-",C208/B208)</f>
        <v/>
      </c>
      <c r="F208" s="117">
        <f>IF(A208="","",SUMIF('Trade Log'!B:B,A208,'Trade Log'!N:N))</f>
        <v/>
      </c>
      <c r="G208" s="117">
        <f>IF(A208="","",SUM($F$3:F208))</f>
        <v/>
      </c>
    </row>
    <row r="209" ht="15" customHeight="1" s="75">
      <c r="A209" s="146" t="n"/>
      <c r="B209" s="115">
        <f>IF(A209="","",COUNTIF('Trade Log'!B:B,A209))</f>
        <v/>
      </c>
      <c r="C209" s="115">
        <f>IF(A209="","",COUNTIFS('Trade Log'!B:B,A209,'Trade Log'!Q:Q,"WIN"))</f>
        <v/>
      </c>
      <c r="D209" s="115">
        <f>IF(A209="","",COUNTIFS('Trade Log'!B:B,A209,'Trade Log'!Q:Q,"LOSS"))</f>
        <v/>
      </c>
      <c r="E209" s="116">
        <f>IF(OR(A209="",B209=0),"-",C209/B209)</f>
        <v/>
      </c>
      <c r="F209" s="117">
        <f>IF(A209="","",SUMIF('Trade Log'!B:B,A209,'Trade Log'!N:N))</f>
        <v/>
      </c>
      <c r="G209" s="117">
        <f>IF(A209="","",SUM($F$3:F209))</f>
        <v/>
      </c>
    </row>
    <row r="210" ht="15" customHeight="1" s="75">
      <c r="A210" s="146" t="n"/>
      <c r="B210" s="115">
        <f>IF(A210="","",COUNTIF('Trade Log'!B:B,A210))</f>
        <v/>
      </c>
      <c r="C210" s="115">
        <f>IF(A210="","",COUNTIFS('Trade Log'!B:B,A210,'Trade Log'!Q:Q,"WIN"))</f>
        <v/>
      </c>
      <c r="D210" s="115">
        <f>IF(A210="","",COUNTIFS('Trade Log'!B:B,A210,'Trade Log'!Q:Q,"LOSS"))</f>
        <v/>
      </c>
      <c r="E210" s="116">
        <f>IF(OR(A210="",B210=0),"-",C210/B210)</f>
        <v/>
      </c>
      <c r="F210" s="117">
        <f>IF(A210="","",SUMIF('Trade Log'!B:B,A210,'Trade Log'!N:N))</f>
        <v/>
      </c>
      <c r="G210" s="117">
        <f>IF(A210="","",SUM($F$3:F210))</f>
        <v/>
      </c>
    </row>
    <row r="211" ht="15" customHeight="1" s="75">
      <c r="A211" s="146" t="n"/>
      <c r="B211" s="115">
        <f>IF(A211="","",COUNTIF('Trade Log'!B:B,A211))</f>
        <v/>
      </c>
      <c r="C211" s="115">
        <f>IF(A211="","",COUNTIFS('Trade Log'!B:B,A211,'Trade Log'!Q:Q,"WIN"))</f>
        <v/>
      </c>
      <c r="D211" s="115">
        <f>IF(A211="","",COUNTIFS('Trade Log'!B:B,A211,'Trade Log'!Q:Q,"LOSS"))</f>
        <v/>
      </c>
      <c r="E211" s="116">
        <f>IF(OR(A211="",B211=0),"-",C211/B211)</f>
        <v/>
      </c>
      <c r="F211" s="117">
        <f>IF(A211="","",SUMIF('Trade Log'!B:B,A211,'Trade Log'!N:N))</f>
        <v/>
      </c>
      <c r="G211" s="117">
        <f>IF(A211="","",SUM($F$3:F211))</f>
        <v/>
      </c>
    </row>
    <row r="212" ht="15" customHeight="1" s="75">
      <c r="A212" s="146" t="n"/>
      <c r="B212" s="115">
        <f>IF(A212="","",COUNTIF('Trade Log'!B:B,A212))</f>
        <v/>
      </c>
      <c r="C212" s="115">
        <f>IF(A212="","",COUNTIFS('Trade Log'!B:B,A212,'Trade Log'!Q:Q,"WIN"))</f>
        <v/>
      </c>
      <c r="D212" s="115">
        <f>IF(A212="","",COUNTIFS('Trade Log'!B:B,A212,'Trade Log'!Q:Q,"LOSS"))</f>
        <v/>
      </c>
      <c r="E212" s="116">
        <f>IF(OR(A212="",B212=0),"-",C212/B212)</f>
        <v/>
      </c>
      <c r="F212" s="117">
        <f>IF(A212="","",SUMIF('Trade Log'!B:B,A212,'Trade Log'!N:N))</f>
        <v/>
      </c>
      <c r="G212" s="117">
        <f>IF(A212="","",SUM($F$3:F212))</f>
        <v/>
      </c>
    </row>
    <row r="213" ht="15" customHeight="1" s="75">
      <c r="A213" s="146" t="n"/>
      <c r="B213" s="115">
        <f>IF(A213="","",COUNTIF('Trade Log'!B:B,A213))</f>
        <v/>
      </c>
      <c r="C213" s="115">
        <f>IF(A213="","",COUNTIFS('Trade Log'!B:B,A213,'Trade Log'!Q:Q,"WIN"))</f>
        <v/>
      </c>
      <c r="D213" s="115">
        <f>IF(A213="","",COUNTIFS('Trade Log'!B:B,A213,'Trade Log'!Q:Q,"LOSS"))</f>
        <v/>
      </c>
      <c r="E213" s="116">
        <f>IF(OR(A213="",B213=0),"-",C213/B213)</f>
        <v/>
      </c>
      <c r="F213" s="117">
        <f>IF(A213="","",SUMIF('Trade Log'!B:B,A213,'Trade Log'!N:N))</f>
        <v/>
      </c>
      <c r="G213" s="117">
        <f>IF(A213="","",SUM($F$3:F213))</f>
        <v/>
      </c>
    </row>
    <row r="214" ht="15" customHeight="1" s="75">
      <c r="A214" s="146" t="n"/>
      <c r="B214" s="115">
        <f>IF(A214="","",COUNTIF('Trade Log'!B:B,A214))</f>
        <v/>
      </c>
      <c r="C214" s="115">
        <f>IF(A214="","",COUNTIFS('Trade Log'!B:B,A214,'Trade Log'!Q:Q,"WIN"))</f>
        <v/>
      </c>
      <c r="D214" s="115">
        <f>IF(A214="","",COUNTIFS('Trade Log'!B:B,A214,'Trade Log'!Q:Q,"LOSS"))</f>
        <v/>
      </c>
      <c r="E214" s="116">
        <f>IF(OR(A214="",B214=0),"-",C214/B214)</f>
        <v/>
      </c>
      <c r="F214" s="117">
        <f>IF(A214="","",SUMIF('Trade Log'!B:B,A214,'Trade Log'!N:N))</f>
        <v/>
      </c>
      <c r="G214" s="117">
        <f>IF(A214="","",SUM($F$3:F214))</f>
        <v/>
      </c>
    </row>
    <row r="215" ht="15" customHeight="1" s="75">
      <c r="A215" s="146" t="n"/>
      <c r="B215" s="115">
        <f>IF(A215="","",COUNTIF('Trade Log'!B:B,A215))</f>
        <v/>
      </c>
      <c r="C215" s="115">
        <f>IF(A215="","",COUNTIFS('Trade Log'!B:B,A215,'Trade Log'!Q:Q,"WIN"))</f>
        <v/>
      </c>
      <c r="D215" s="115">
        <f>IF(A215="","",COUNTIFS('Trade Log'!B:B,A215,'Trade Log'!Q:Q,"LOSS"))</f>
        <v/>
      </c>
      <c r="E215" s="116">
        <f>IF(OR(A215="",B215=0),"-",C215/B215)</f>
        <v/>
      </c>
      <c r="F215" s="117">
        <f>IF(A215="","",SUMIF('Trade Log'!B:B,A215,'Trade Log'!N:N))</f>
        <v/>
      </c>
      <c r="G215" s="117">
        <f>IF(A215="","",SUM($F$3:F215))</f>
        <v/>
      </c>
    </row>
    <row r="216" ht="15" customHeight="1" s="75">
      <c r="A216" s="146" t="n"/>
      <c r="B216" s="115">
        <f>IF(A216="","",COUNTIF('Trade Log'!B:B,A216))</f>
        <v/>
      </c>
      <c r="C216" s="115">
        <f>IF(A216="","",COUNTIFS('Trade Log'!B:B,A216,'Trade Log'!Q:Q,"WIN"))</f>
        <v/>
      </c>
      <c r="D216" s="115">
        <f>IF(A216="","",COUNTIFS('Trade Log'!B:B,A216,'Trade Log'!Q:Q,"LOSS"))</f>
        <v/>
      </c>
      <c r="E216" s="116">
        <f>IF(OR(A216="",B216=0),"-",C216/B216)</f>
        <v/>
      </c>
      <c r="F216" s="117">
        <f>IF(A216="","",SUMIF('Trade Log'!B:B,A216,'Trade Log'!N:N))</f>
        <v/>
      </c>
      <c r="G216" s="117">
        <f>IF(A216="","",SUM($F$3:F216))</f>
        <v/>
      </c>
    </row>
    <row r="217" ht="15" customHeight="1" s="75">
      <c r="A217" s="146" t="n"/>
      <c r="B217" s="115">
        <f>IF(A217="","",COUNTIF('Trade Log'!B:B,A217))</f>
        <v/>
      </c>
      <c r="C217" s="115">
        <f>IF(A217="","",COUNTIFS('Trade Log'!B:B,A217,'Trade Log'!Q:Q,"WIN"))</f>
        <v/>
      </c>
      <c r="D217" s="115">
        <f>IF(A217="","",COUNTIFS('Trade Log'!B:B,A217,'Trade Log'!Q:Q,"LOSS"))</f>
        <v/>
      </c>
      <c r="E217" s="116">
        <f>IF(OR(A217="",B217=0),"-",C217/B217)</f>
        <v/>
      </c>
      <c r="F217" s="117">
        <f>IF(A217="","",SUMIF('Trade Log'!B:B,A217,'Trade Log'!N:N))</f>
        <v/>
      </c>
      <c r="G217" s="117">
        <f>IF(A217="","",SUM($F$3:F217))</f>
        <v/>
      </c>
    </row>
    <row r="218" ht="15" customHeight="1" s="75">
      <c r="A218" s="146" t="n"/>
      <c r="B218" s="115">
        <f>IF(A218="","",COUNTIF('Trade Log'!B:B,A218))</f>
        <v/>
      </c>
      <c r="C218" s="115">
        <f>IF(A218="","",COUNTIFS('Trade Log'!B:B,A218,'Trade Log'!Q:Q,"WIN"))</f>
        <v/>
      </c>
      <c r="D218" s="115">
        <f>IF(A218="","",COUNTIFS('Trade Log'!B:B,A218,'Trade Log'!Q:Q,"LOSS"))</f>
        <v/>
      </c>
      <c r="E218" s="116">
        <f>IF(OR(A218="",B218=0),"-",C218/B218)</f>
        <v/>
      </c>
      <c r="F218" s="117">
        <f>IF(A218="","",SUMIF('Trade Log'!B:B,A218,'Trade Log'!N:N))</f>
        <v/>
      </c>
      <c r="G218" s="117">
        <f>IF(A218="","",SUM($F$3:F218))</f>
        <v/>
      </c>
    </row>
    <row r="219" ht="15" customHeight="1" s="75">
      <c r="A219" s="146" t="n"/>
      <c r="B219" s="115">
        <f>IF(A219="","",COUNTIF('Trade Log'!B:B,A219))</f>
        <v/>
      </c>
      <c r="C219" s="115">
        <f>IF(A219="","",COUNTIFS('Trade Log'!B:B,A219,'Trade Log'!Q:Q,"WIN"))</f>
        <v/>
      </c>
      <c r="D219" s="115">
        <f>IF(A219="","",COUNTIFS('Trade Log'!B:B,A219,'Trade Log'!Q:Q,"LOSS"))</f>
        <v/>
      </c>
      <c r="E219" s="116">
        <f>IF(OR(A219="",B219=0),"-",C219/B219)</f>
        <v/>
      </c>
      <c r="F219" s="117">
        <f>IF(A219="","",SUMIF('Trade Log'!B:B,A219,'Trade Log'!N:N))</f>
        <v/>
      </c>
      <c r="G219" s="117">
        <f>IF(A219="","",SUM($F$3:F219))</f>
        <v/>
      </c>
    </row>
    <row r="220" ht="15" customHeight="1" s="75">
      <c r="A220" s="146" t="n"/>
      <c r="B220" s="115">
        <f>IF(A220="","",COUNTIF('Trade Log'!B:B,A220))</f>
        <v/>
      </c>
      <c r="C220" s="115">
        <f>IF(A220="","",COUNTIFS('Trade Log'!B:B,A220,'Trade Log'!Q:Q,"WIN"))</f>
        <v/>
      </c>
      <c r="D220" s="115">
        <f>IF(A220="","",COUNTIFS('Trade Log'!B:B,A220,'Trade Log'!Q:Q,"LOSS"))</f>
        <v/>
      </c>
      <c r="E220" s="116">
        <f>IF(OR(A220="",B220=0),"-",C220/B220)</f>
        <v/>
      </c>
      <c r="F220" s="117">
        <f>IF(A220="","",SUMIF('Trade Log'!B:B,A220,'Trade Log'!N:N))</f>
        <v/>
      </c>
      <c r="G220" s="117">
        <f>IF(A220="","",SUM($F$3:F220))</f>
        <v/>
      </c>
    </row>
    <row r="221" ht="15" customHeight="1" s="75">
      <c r="A221" s="146" t="n"/>
      <c r="B221" s="115">
        <f>IF(A221="","",COUNTIF('Trade Log'!B:B,A221))</f>
        <v/>
      </c>
      <c r="C221" s="115">
        <f>IF(A221="","",COUNTIFS('Trade Log'!B:B,A221,'Trade Log'!Q:Q,"WIN"))</f>
        <v/>
      </c>
      <c r="D221" s="115">
        <f>IF(A221="","",COUNTIFS('Trade Log'!B:B,A221,'Trade Log'!Q:Q,"LOSS"))</f>
        <v/>
      </c>
      <c r="E221" s="116">
        <f>IF(OR(A221="",B221=0),"-",C221/B221)</f>
        <v/>
      </c>
      <c r="F221" s="117">
        <f>IF(A221="","",SUMIF('Trade Log'!B:B,A221,'Trade Log'!N:N))</f>
        <v/>
      </c>
      <c r="G221" s="117">
        <f>IF(A221="","",SUM($F$3:F221))</f>
        <v/>
      </c>
    </row>
    <row r="222" ht="15" customHeight="1" s="75">
      <c r="A222" s="146" t="n"/>
      <c r="B222" s="115">
        <f>IF(A222="","",COUNTIF('Trade Log'!B:B,A222))</f>
        <v/>
      </c>
      <c r="C222" s="115">
        <f>IF(A222="","",COUNTIFS('Trade Log'!B:B,A222,'Trade Log'!Q:Q,"WIN"))</f>
        <v/>
      </c>
      <c r="D222" s="115">
        <f>IF(A222="","",COUNTIFS('Trade Log'!B:B,A222,'Trade Log'!Q:Q,"LOSS"))</f>
        <v/>
      </c>
      <c r="E222" s="116">
        <f>IF(OR(A222="",B222=0),"-",C222/B222)</f>
        <v/>
      </c>
      <c r="F222" s="117">
        <f>IF(A222="","",SUMIF('Trade Log'!B:B,A222,'Trade Log'!N:N))</f>
        <v/>
      </c>
      <c r="G222" s="117">
        <f>IF(A222="","",SUM($F$3:F222))</f>
        <v/>
      </c>
    </row>
    <row r="223" ht="15" customHeight="1" s="75">
      <c r="A223" s="146" t="n"/>
      <c r="B223" s="115">
        <f>IF(A223="","",COUNTIF('Trade Log'!B:B,A223))</f>
        <v/>
      </c>
      <c r="C223" s="115">
        <f>IF(A223="","",COUNTIFS('Trade Log'!B:B,A223,'Trade Log'!Q:Q,"WIN"))</f>
        <v/>
      </c>
      <c r="D223" s="115">
        <f>IF(A223="","",COUNTIFS('Trade Log'!B:B,A223,'Trade Log'!Q:Q,"LOSS"))</f>
        <v/>
      </c>
      <c r="E223" s="116">
        <f>IF(OR(A223="",B223=0),"-",C223/B223)</f>
        <v/>
      </c>
      <c r="F223" s="117">
        <f>IF(A223="","",SUMIF('Trade Log'!B:B,A223,'Trade Log'!N:N))</f>
        <v/>
      </c>
      <c r="G223" s="117">
        <f>IF(A223="","",SUM($F$3:F223))</f>
        <v/>
      </c>
    </row>
    <row r="224" ht="15" customHeight="1" s="75">
      <c r="A224" s="146" t="n"/>
      <c r="B224" s="115">
        <f>IF(A224="","",COUNTIF('Trade Log'!B:B,A224))</f>
        <v/>
      </c>
      <c r="C224" s="115">
        <f>IF(A224="","",COUNTIFS('Trade Log'!B:B,A224,'Trade Log'!Q:Q,"WIN"))</f>
        <v/>
      </c>
      <c r="D224" s="115">
        <f>IF(A224="","",COUNTIFS('Trade Log'!B:B,A224,'Trade Log'!Q:Q,"LOSS"))</f>
        <v/>
      </c>
      <c r="E224" s="116">
        <f>IF(OR(A224="",B224=0),"-",C224/B224)</f>
        <v/>
      </c>
      <c r="F224" s="117">
        <f>IF(A224="","",SUMIF('Trade Log'!B:B,A224,'Trade Log'!N:N))</f>
        <v/>
      </c>
      <c r="G224" s="117">
        <f>IF(A224="","",SUM($F$3:F224))</f>
        <v/>
      </c>
    </row>
    <row r="225" ht="15" customHeight="1" s="75">
      <c r="A225" s="146" t="n"/>
      <c r="B225" s="115">
        <f>IF(A225="","",COUNTIF('Trade Log'!B:B,A225))</f>
        <v/>
      </c>
      <c r="C225" s="115">
        <f>IF(A225="","",COUNTIFS('Trade Log'!B:B,A225,'Trade Log'!Q:Q,"WIN"))</f>
        <v/>
      </c>
      <c r="D225" s="115">
        <f>IF(A225="","",COUNTIFS('Trade Log'!B:B,A225,'Trade Log'!Q:Q,"LOSS"))</f>
        <v/>
      </c>
      <c r="E225" s="116">
        <f>IF(OR(A225="",B225=0),"-",C225/B225)</f>
        <v/>
      </c>
      <c r="F225" s="117">
        <f>IF(A225="","",SUMIF('Trade Log'!B:B,A225,'Trade Log'!N:N))</f>
        <v/>
      </c>
      <c r="G225" s="117">
        <f>IF(A225="","",SUM($F$3:F225))</f>
        <v/>
      </c>
    </row>
    <row r="226" ht="15" customHeight="1" s="75">
      <c r="A226" s="146" t="n"/>
      <c r="B226" s="115">
        <f>IF(A226="","",COUNTIF('Trade Log'!B:B,A226))</f>
        <v/>
      </c>
      <c r="C226" s="115">
        <f>IF(A226="","",COUNTIFS('Trade Log'!B:B,A226,'Trade Log'!Q:Q,"WIN"))</f>
        <v/>
      </c>
      <c r="D226" s="115">
        <f>IF(A226="","",COUNTIFS('Trade Log'!B:B,A226,'Trade Log'!Q:Q,"LOSS"))</f>
        <v/>
      </c>
      <c r="E226" s="116">
        <f>IF(OR(A226="",B226=0),"-",C226/B226)</f>
        <v/>
      </c>
      <c r="F226" s="117">
        <f>IF(A226="","",SUMIF('Trade Log'!B:B,A226,'Trade Log'!N:N))</f>
        <v/>
      </c>
      <c r="G226" s="117">
        <f>IF(A226="","",SUM($F$3:F226))</f>
        <v/>
      </c>
    </row>
    <row r="227" ht="15" customHeight="1" s="75">
      <c r="A227" s="146" t="n"/>
      <c r="B227" s="115">
        <f>IF(A227="","",COUNTIF('Trade Log'!B:B,A227))</f>
        <v/>
      </c>
      <c r="C227" s="115">
        <f>IF(A227="","",COUNTIFS('Trade Log'!B:B,A227,'Trade Log'!Q:Q,"WIN"))</f>
        <v/>
      </c>
      <c r="D227" s="115">
        <f>IF(A227="","",COUNTIFS('Trade Log'!B:B,A227,'Trade Log'!Q:Q,"LOSS"))</f>
        <v/>
      </c>
      <c r="E227" s="116">
        <f>IF(OR(A227="",B227=0),"-",C227/B227)</f>
        <v/>
      </c>
      <c r="F227" s="117">
        <f>IF(A227="","",SUMIF('Trade Log'!B:B,A227,'Trade Log'!N:N))</f>
        <v/>
      </c>
      <c r="G227" s="117">
        <f>IF(A227="","",SUM($F$3:F227))</f>
        <v/>
      </c>
    </row>
    <row r="228" ht="15" customHeight="1" s="75">
      <c r="A228" s="146" t="n"/>
      <c r="B228" s="115">
        <f>IF(A228="","",COUNTIF('Trade Log'!B:B,A228))</f>
        <v/>
      </c>
      <c r="C228" s="115">
        <f>IF(A228="","",COUNTIFS('Trade Log'!B:B,A228,'Trade Log'!Q:Q,"WIN"))</f>
        <v/>
      </c>
      <c r="D228" s="115">
        <f>IF(A228="","",COUNTIFS('Trade Log'!B:B,A228,'Trade Log'!Q:Q,"LOSS"))</f>
        <v/>
      </c>
      <c r="E228" s="116">
        <f>IF(OR(A228="",B228=0),"-",C228/B228)</f>
        <v/>
      </c>
      <c r="F228" s="117">
        <f>IF(A228="","",SUMIF('Trade Log'!B:B,A228,'Trade Log'!N:N))</f>
        <v/>
      </c>
      <c r="G228" s="117">
        <f>IF(A228="","",SUM($F$3:F228))</f>
        <v/>
      </c>
    </row>
    <row r="229" ht="15" customHeight="1" s="75">
      <c r="A229" s="146" t="n"/>
      <c r="B229" s="115">
        <f>IF(A229="","",COUNTIF('Trade Log'!B:B,A229))</f>
        <v/>
      </c>
      <c r="C229" s="115">
        <f>IF(A229="","",COUNTIFS('Trade Log'!B:B,A229,'Trade Log'!Q:Q,"WIN"))</f>
        <v/>
      </c>
      <c r="D229" s="115">
        <f>IF(A229="","",COUNTIFS('Trade Log'!B:B,A229,'Trade Log'!Q:Q,"LOSS"))</f>
        <v/>
      </c>
      <c r="E229" s="116">
        <f>IF(OR(A229="",B229=0),"-",C229/B229)</f>
        <v/>
      </c>
      <c r="F229" s="117">
        <f>IF(A229="","",SUMIF('Trade Log'!B:B,A229,'Trade Log'!N:N))</f>
        <v/>
      </c>
      <c r="G229" s="117">
        <f>IF(A229="","",SUM($F$3:F229))</f>
        <v/>
      </c>
    </row>
    <row r="230" ht="15" customHeight="1" s="75">
      <c r="A230" s="146" t="n"/>
      <c r="B230" s="115">
        <f>IF(A230="","",COUNTIF('Trade Log'!B:B,A230))</f>
        <v/>
      </c>
      <c r="C230" s="115">
        <f>IF(A230="","",COUNTIFS('Trade Log'!B:B,A230,'Trade Log'!Q:Q,"WIN"))</f>
        <v/>
      </c>
      <c r="D230" s="115">
        <f>IF(A230="","",COUNTIFS('Trade Log'!B:B,A230,'Trade Log'!Q:Q,"LOSS"))</f>
        <v/>
      </c>
      <c r="E230" s="116">
        <f>IF(OR(A230="",B230=0),"-",C230/B230)</f>
        <v/>
      </c>
      <c r="F230" s="117">
        <f>IF(A230="","",SUMIF('Trade Log'!B:B,A230,'Trade Log'!N:N))</f>
        <v/>
      </c>
      <c r="G230" s="117">
        <f>IF(A230="","",SUM($F$3:F230))</f>
        <v/>
      </c>
    </row>
    <row r="231" ht="15" customHeight="1" s="75">
      <c r="A231" s="146" t="n"/>
      <c r="B231" s="115">
        <f>IF(A231="","",COUNTIF('Trade Log'!B:B,A231))</f>
        <v/>
      </c>
      <c r="C231" s="115">
        <f>IF(A231="","",COUNTIFS('Trade Log'!B:B,A231,'Trade Log'!Q:Q,"WIN"))</f>
        <v/>
      </c>
      <c r="D231" s="115">
        <f>IF(A231="","",COUNTIFS('Trade Log'!B:B,A231,'Trade Log'!Q:Q,"LOSS"))</f>
        <v/>
      </c>
      <c r="E231" s="116">
        <f>IF(OR(A231="",B231=0),"-",C231/B231)</f>
        <v/>
      </c>
      <c r="F231" s="117">
        <f>IF(A231="","",SUMIF('Trade Log'!B:B,A231,'Trade Log'!N:N))</f>
        <v/>
      </c>
      <c r="G231" s="117">
        <f>IF(A231="","",SUM($F$3:F231))</f>
        <v/>
      </c>
    </row>
    <row r="232" ht="15" customHeight="1" s="75">
      <c r="A232" s="146" t="n"/>
      <c r="B232" s="115">
        <f>IF(A232="","",COUNTIF('Trade Log'!B:B,A232))</f>
        <v/>
      </c>
      <c r="C232" s="115">
        <f>IF(A232="","",COUNTIFS('Trade Log'!B:B,A232,'Trade Log'!Q:Q,"WIN"))</f>
        <v/>
      </c>
      <c r="D232" s="115">
        <f>IF(A232="","",COUNTIFS('Trade Log'!B:B,A232,'Trade Log'!Q:Q,"LOSS"))</f>
        <v/>
      </c>
      <c r="E232" s="116">
        <f>IF(OR(A232="",B232=0),"-",C232/B232)</f>
        <v/>
      </c>
      <c r="F232" s="117">
        <f>IF(A232="","",SUMIF('Trade Log'!B:B,A232,'Trade Log'!N:N))</f>
        <v/>
      </c>
      <c r="G232" s="117">
        <f>IF(A232="","",SUM($F$3:F232))</f>
        <v/>
      </c>
    </row>
    <row r="233" ht="15" customHeight="1" s="75">
      <c r="A233" s="146" t="n"/>
      <c r="B233" s="115">
        <f>IF(A233="","",COUNTIF('Trade Log'!B:B,A233))</f>
        <v/>
      </c>
      <c r="C233" s="115">
        <f>IF(A233="","",COUNTIFS('Trade Log'!B:B,A233,'Trade Log'!Q:Q,"WIN"))</f>
        <v/>
      </c>
      <c r="D233" s="115">
        <f>IF(A233="","",COUNTIFS('Trade Log'!B:B,A233,'Trade Log'!Q:Q,"LOSS"))</f>
        <v/>
      </c>
      <c r="E233" s="116">
        <f>IF(OR(A233="",B233=0),"-",C233/B233)</f>
        <v/>
      </c>
      <c r="F233" s="117">
        <f>IF(A233="","",SUMIF('Trade Log'!B:B,A233,'Trade Log'!N:N))</f>
        <v/>
      </c>
      <c r="G233" s="117">
        <f>IF(A233="","",SUM($F$3:F233))</f>
        <v/>
      </c>
    </row>
    <row r="234" ht="15" customHeight="1" s="75">
      <c r="A234" s="146" t="n"/>
      <c r="B234" s="115">
        <f>IF(A234="","",COUNTIF('Trade Log'!B:B,A234))</f>
        <v/>
      </c>
      <c r="C234" s="115">
        <f>IF(A234="","",COUNTIFS('Trade Log'!B:B,A234,'Trade Log'!Q:Q,"WIN"))</f>
        <v/>
      </c>
      <c r="D234" s="115">
        <f>IF(A234="","",COUNTIFS('Trade Log'!B:B,A234,'Trade Log'!Q:Q,"LOSS"))</f>
        <v/>
      </c>
      <c r="E234" s="116">
        <f>IF(OR(A234="",B234=0),"-",C234/B234)</f>
        <v/>
      </c>
      <c r="F234" s="117">
        <f>IF(A234="","",SUMIF('Trade Log'!B:B,A234,'Trade Log'!N:N))</f>
        <v/>
      </c>
      <c r="G234" s="117">
        <f>IF(A234="","",SUM($F$3:F234))</f>
        <v/>
      </c>
    </row>
    <row r="235" ht="15" customHeight="1" s="75">
      <c r="A235" s="146" t="n"/>
      <c r="B235" s="115">
        <f>IF(A235="","",COUNTIF('Trade Log'!B:B,A235))</f>
        <v/>
      </c>
      <c r="C235" s="115">
        <f>IF(A235="","",COUNTIFS('Trade Log'!B:B,A235,'Trade Log'!Q:Q,"WIN"))</f>
        <v/>
      </c>
      <c r="D235" s="115">
        <f>IF(A235="","",COUNTIFS('Trade Log'!B:B,A235,'Trade Log'!Q:Q,"LOSS"))</f>
        <v/>
      </c>
      <c r="E235" s="116">
        <f>IF(OR(A235="",B235=0),"-",C235/B235)</f>
        <v/>
      </c>
      <c r="F235" s="117">
        <f>IF(A235="","",SUMIF('Trade Log'!B:B,A235,'Trade Log'!N:N))</f>
        <v/>
      </c>
      <c r="G235" s="117">
        <f>IF(A235="","",SUM($F$3:F235))</f>
        <v/>
      </c>
    </row>
    <row r="236" ht="15" customHeight="1" s="75">
      <c r="A236" s="146" t="n"/>
      <c r="B236" s="115">
        <f>IF(A236="","",COUNTIF('Trade Log'!B:B,A236))</f>
        <v/>
      </c>
      <c r="C236" s="115">
        <f>IF(A236="","",COUNTIFS('Trade Log'!B:B,A236,'Trade Log'!Q:Q,"WIN"))</f>
        <v/>
      </c>
      <c r="D236" s="115">
        <f>IF(A236="","",COUNTIFS('Trade Log'!B:B,A236,'Trade Log'!Q:Q,"LOSS"))</f>
        <v/>
      </c>
      <c r="E236" s="116">
        <f>IF(OR(A236="",B236=0),"-",C236/B236)</f>
        <v/>
      </c>
      <c r="F236" s="117">
        <f>IF(A236="","",SUMIF('Trade Log'!B:B,A236,'Trade Log'!N:N))</f>
        <v/>
      </c>
      <c r="G236" s="117">
        <f>IF(A236="","",SUM($F$3:F236))</f>
        <v/>
      </c>
    </row>
    <row r="237" ht="15" customHeight="1" s="75">
      <c r="A237" s="146" t="n"/>
      <c r="B237" s="115">
        <f>IF(A237="","",COUNTIF('Trade Log'!B:B,A237))</f>
        <v/>
      </c>
      <c r="C237" s="115">
        <f>IF(A237="","",COUNTIFS('Trade Log'!B:B,A237,'Trade Log'!Q:Q,"WIN"))</f>
        <v/>
      </c>
      <c r="D237" s="115">
        <f>IF(A237="","",COUNTIFS('Trade Log'!B:B,A237,'Trade Log'!Q:Q,"LOSS"))</f>
        <v/>
      </c>
      <c r="E237" s="116">
        <f>IF(OR(A237="",B237=0),"-",C237/B237)</f>
        <v/>
      </c>
      <c r="F237" s="117">
        <f>IF(A237="","",SUMIF('Trade Log'!B:B,A237,'Trade Log'!N:N))</f>
        <v/>
      </c>
      <c r="G237" s="117">
        <f>IF(A237="","",SUM($F$3:F237))</f>
        <v/>
      </c>
    </row>
    <row r="238" ht="15" customHeight="1" s="75">
      <c r="A238" s="146" t="n"/>
      <c r="B238" s="115">
        <f>IF(A238="","",COUNTIF('Trade Log'!B:B,A238))</f>
        <v/>
      </c>
      <c r="C238" s="115">
        <f>IF(A238="","",COUNTIFS('Trade Log'!B:B,A238,'Trade Log'!Q:Q,"WIN"))</f>
        <v/>
      </c>
      <c r="D238" s="115">
        <f>IF(A238="","",COUNTIFS('Trade Log'!B:B,A238,'Trade Log'!Q:Q,"LOSS"))</f>
        <v/>
      </c>
      <c r="E238" s="116">
        <f>IF(OR(A238="",B238=0),"-",C238/B238)</f>
        <v/>
      </c>
      <c r="F238" s="117">
        <f>IF(A238="","",SUMIF('Trade Log'!B:B,A238,'Trade Log'!N:N))</f>
        <v/>
      </c>
      <c r="G238" s="117">
        <f>IF(A238="","",SUM($F$3:F238))</f>
        <v/>
      </c>
    </row>
    <row r="239" ht="15" customHeight="1" s="75">
      <c r="A239" s="146" t="n"/>
      <c r="B239" s="115">
        <f>IF(A239="","",COUNTIF('Trade Log'!B:B,A239))</f>
        <v/>
      </c>
      <c r="C239" s="115">
        <f>IF(A239="","",COUNTIFS('Trade Log'!B:B,A239,'Trade Log'!Q:Q,"WIN"))</f>
        <v/>
      </c>
      <c r="D239" s="115">
        <f>IF(A239="","",COUNTIFS('Trade Log'!B:B,A239,'Trade Log'!Q:Q,"LOSS"))</f>
        <v/>
      </c>
      <c r="E239" s="116">
        <f>IF(OR(A239="",B239=0),"-",C239/B239)</f>
        <v/>
      </c>
      <c r="F239" s="117">
        <f>IF(A239="","",SUMIF('Trade Log'!B:B,A239,'Trade Log'!N:N))</f>
        <v/>
      </c>
      <c r="G239" s="117">
        <f>IF(A239="","",SUM($F$3:F239))</f>
        <v/>
      </c>
    </row>
    <row r="240" ht="15" customHeight="1" s="75">
      <c r="A240" s="146" t="n"/>
      <c r="B240" s="115">
        <f>IF(A240="","",COUNTIF('Trade Log'!B:B,A240))</f>
        <v/>
      </c>
      <c r="C240" s="115">
        <f>IF(A240="","",COUNTIFS('Trade Log'!B:B,A240,'Trade Log'!Q:Q,"WIN"))</f>
        <v/>
      </c>
      <c r="D240" s="115">
        <f>IF(A240="","",COUNTIFS('Trade Log'!B:B,A240,'Trade Log'!Q:Q,"LOSS"))</f>
        <v/>
      </c>
      <c r="E240" s="116">
        <f>IF(OR(A240="",B240=0),"-",C240/B240)</f>
        <v/>
      </c>
      <c r="F240" s="117">
        <f>IF(A240="","",SUMIF('Trade Log'!B:B,A240,'Trade Log'!N:N))</f>
        <v/>
      </c>
      <c r="G240" s="117">
        <f>IF(A240="","",SUM($F$3:F240))</f>
        <v/>
      </c>
    </row>
    <row r="241" ht="15" customHeight="1" s="75">
      <c r="A241" s="146" t="n"/>
      <c r="B241" s="115">
        <f>IF(A241="","",COUNTIF('Trade Log'!B:B,A241))</f>
        <v/>
      </c>
      <c r="C241" s="115">
        <f>IF(A241="","",COUNTIFS('Trade Log'!B:B,A241,'Trade Log'!Q:Q,"WIN"))</f>
        <v/>
      </c>
      <c r="D241" s="115">
        <f>IF(A241="","",COUNTIFS('Trade Log'!B:B,A241,'Trade Log'!Q:Q,"LOSS"))</f>
        <v/>
      </c>
      <c r="E241" s="116">
        <f>IF(OR(A241="",B241=0),"-",C241/B241)</f>
        <v/>
      </c>
      <c r="F241" s="117">
        <f>IF(A241="","",SUMIF('Trade Log'!B:B,A241,'Trade Log'!N:N))</f>
        <v/>
      </c>
      <c r="G241" s="117">
        <f>IF(A241="","",SUM($F$3:F241))</f>
        <v/>
      </c>
    </row>
    <row r="242" ht="15" customHeight="1" s="75">
      <c r="A242" s="146" t="n"/>
      <c r="B242" s="115">
        <f>IF(A242="","",COUNTIF('Trade Log'!B:B,A242))</f>
        <v/>
      </c>
      <c r="C242" s="115">
        <f>IF(A242="","",COUNTIFS('Trade Log'!B:B,A242,'Trade Log'!Q:Q,"WIN"))</f>
        <v/>
      </c>
      <c r="D242" s="115">
        <f>IF(A242="","",COUNTIFS('Trade Log'!B:B,A242,'Trade Log'!Q:Q,"LOSS"))</f>
        <v/>
      </c>
      <c r="E242" s="116">
        <f>IF(OR(A242="",B242=0),"-",C242/B242)</f>
        <v/>
      </c>
      <c r="F242" s="117">
        <f>IF(A242="","",SUMIF('Trade Log'!B:B,A242,'Trade Log'!N:N))</f>
        <v/>
      </c>
      <c r="G242" s="117">
        <f>IF(A242="","",SUM($F$3:F242))</f>
        <v/>
      </c>
    </row>
    <row r="243" ht="15" customHeight="1" s="75">
      <c r="A243" s="146" t="n"/>
      <c r="B243" s="115">
        <f>IF(A243="","",COUNTIF('Trade Log'!B:B,A243))</f>
        <v/>
      </c>
      <c r="C243" s="115">
        <f>IF(A243="","",COUNTIFS('Trade Log'!B:B,A243,'Trade Log'!Q:Q,"WIN"))</f>
        <v/>
      </c>
      <c r="D243" s="115">
        <f>IF(A243="","",COUNTIFS('Trade Log'!B:B,A243,'Trade Log'!Q:Q,"LOSS"))</f>
        <v/>
      </c>
      <c r="E243" s="116">
        <f>IF(OR(A243="",B243=0),"-",C243/B243)</f>
        <v/>
      </c>
      <c r="F243" s="117">
        <f>IF(A243="","",SUMIF('Trade Log'!B:B,A243,'Trade Log'!N:N))</f>
        <v/>
      </c>
      <c r="G243" s="117">
        <f>IF(A243="","",SUM($F$3:F243))</f>
        <v/>
      </c>
    </row>
    <row r="244" ht="15" customHeight="1" s="75">
      <c r="A244" s="146" t="n"/>
      <c r="B244" s="115">
        <f>IF(A244="","",COUNTIF('Trade Log'!B:B,A244))</f>
        <v/>
      </c>
      <c r="C244" s="115">
        <f>IF(A244="","",COUNTIFS('Trade Log'!B:B,A244,'Trade Log'!Q:Q,"WIN"))</f>
        <v/>
      </c>
      <c r="D244" s="115">
        <f>IF(A244="","",COUNTIFS('Trade Log'!B:B,A244,'Trade Log'!Q:Q,"LOSS"))</f>
        <v/>
      </c>
      <c r="E244" s="116">
        <f>IF(OR(A244="",B244=0),"-",C244/B244)</f>
        <v/>
      </c>
      <c r="F244" s="117">
        <f>IF(A244="","",SUMIF('Trade Log'!B:B,A244,'Trade Log'!N:N))</f>
        <v/>
      </c>
      <c r="G244" s="117">
        <f>IF(A244="","",SUM($F$3:F244))</f>
        <v/>
      </c>
    </row>
    <row r="245" ht="15" customHeight="1" s="75">
      <c r="A245" s="146" t="n"/>
      <c r="B245" s="115">
        <f>IF(A245="","",COUNTIF('Trade Log'!B:B,A245))</f>
        <v/>
      </c>
      <c r="C245" s="115">
        <f>IF(A245="","",COUNTIFS('Trade Log'!B:B,A245,'Trade Log'!Q:Q,"WIN"))</f>
        <v/>
      </c>
      <c r="D245" s="115">
        <f>IF(A245="","",COUNTIFS('Trade Log'!B:B,A245,'Trade Log'!Q:Q,"LOSS"))</f>
        <v/>
      </c>
      <c r="E245" s="116">
        <f>IF(OR(A245="",B245=0),"-",C245/B245)</f>
        <v/>
      </c>
      <c r="F245" s="117">
        <f>IF(A245="","",SUMIF('Trade Log'!B:B,A245,'Trade Log'!N:N))</f>
        <v/>
      </c>
      <c r="G245" s="117">
        <f>IF(A245="","",SUM($F$3:F245))</f>
        <v/>
      </c>
    </row>
    <row r="246" ht="15" customHeight="1" s="75">
      <c r="A246" s="146" t="n"/>
      <c r="B246" s="115">
        <f>IF(A246="","",COUNTIF('Trade Log'!B:B,A246))</f>
        <v/>
      </c>
      <c r="C246" s="115">
        <f>IF(A246="","",COUNTIFS('Trade Log'!B:B,A246,'Trade Log'!Q:Q,"WIN"))</f>
        <v/>
      </c>
      <c r="D246" s="115">
        <f>IF(A246="","",COUNTIFS('Trade Log'!B:B,A246,'Trade Log'!Q:Q,"LOSS"))</f>
        <v/>
      </c>
      <c r="E246" s="116">
        <f>IF(OR(A246="",B246=0),"-",C246/B246)</f>
        <v/>
      </c>
      <c r="F246" s="117">
        <f>IF(A246="","",SUMIF('Trade Log'!B:B,A246,'Trade Log'!N:N))</f>
        <v/>
      </c>
      <c r="G246" s="117">
        <f>IF(A246="","",SUM($F$3:F246))</f>
        <v/>
      </c>
    </row>
    <row r="247" ht="15" customHeight="1" s="75">
      <c r="A247" s="146" t="n"/>
      <c r="B247" s="115">
        <f>IF(A247="","",COUNTIF('Trade Log'!B:B,A247))</f>
        <v/>
      </c>
      <c r="C247" s="115">
        <f>IF(A247="","",COUNTIFS('Trade Log'!B:B,A247,'Trade Log'!Q:Q,"WIN"))</f>
        <v/>
      </c>
      <c r="D247" s="115">
        <f>IF(A247="","",COUNTIFS('Trade Log'!B:B,A247,'Trade Log'!Q:Q,"LOSS"))</f>
        <v/>
      </c>
      <c r="E247" s="116">
        <f>IF(OR(A247="",B247=0),"-",C247/B247)</f>
        <v/>
      </c>
      <c r="F247" s="117">
        <f>IF(A247="","",SUMIF('Trade Log'!B:B,A247,'Trade Log'!N:N))</f>
        <v/>
      </c>
      <c r="G247" s="117">
        <f>IF(A247="","",SUM($F$3:F247))</f>
        <v/>
      </c>
    </row>
    <row r="248" ht="15" customHeight="1" s="75">
      <c r="A248" s="146" t="n"/>
      <c r="B248" s="115">
        <f>IF(A248="","",COUNTIF('Trade Log'!B:B,A248))</f>
        <v/>
      </c>
      <c r="C248" s="115">
        <f>IF(A248="","",COUNTIFS('Trade Log'!B:B,A248,'Trade Log'!Q:Q,"WIN"))</f>
        <v/>
      </c>
      <c r="D248" s="115">
        <f>IF(A248="","",COUNTIFS('Trade Log'!B:B,A248,'Trade Log'!Q:Q,"LOSS"))</f>
        <v/>
      </c>
      <c r="E248" s="116">
        <f>IF(OR(A248="",B248=0),"-",C248/B248)</f>
        <v/>
      </c>
      <c r="F248" s="117">
        <f>IF(A248="","",SUMIF('Trade Log'!B:B,A248,'Trade Log'!N:N))</f>
        <v/>
      </c>
      <c r="G248" s="117">
        <f>IF(A248="","",SUM($F$3:F248))</f>
        <v/>
      </c>
    </row>
    <row r="249" ht="15" customHeight="1" s="75">
      <c r="A249" s="146" t="n"/>
      <c r="B249" s="115">
        <f>IF(A249="","",COUNTIF('Trade Log'!B:B,A249))</f>
        <v/>
      </c>
      <c r="C249" s="115">
        <f>IF(A249="","",COUNTIFS('Trade Log'!B:B,A249,'Trade Log'!Q:Q,"WIN"))</f>
        <v/>
      </c>
      <c r="D249" s="115">
        <f>IF(A249="","",COUNTIFS('Trade Log'!B:B,A249,'Trade Log'!Q:Q,"LOSS"))</f>
        <v/>
      </c>
      <c r="E249" s="116">
        <f>IF(OR(A249="",B249=0),"-",C249/B249)</f>
        <v/>
      </c>
      <c r="F249" s="117">
        <f>IF(A249="","",SUMIF('Trade Log'!B:B,A249,'Trade Log'!N:N))</f>
        <v/>
      </c>
      <c r="G249" s="117">
        <f>IF(A249="","",SUM($F$3:F249))</f>
        <v/>
      </c>
    </row>
    <row r="250" ht="15" customHeight="1" s="75">
      <c r="A250" s="146" t="n"/>
      <c r="B250" s="115">
        <f>IF(A250="","",COUNTIF('Trade Log'!B:B,A250))</f>
        <v/>
      </c>
      <c r="C250" s="115">
        <f>IF(A250="","",COUNTIFS('Trade Log'!B:B,A250,'Trade Log'!Q:Q,"WIN"))</f>
        <v/>
      </c>
      <c r="D250" s="115">
        <f>IF(A250="","",COUNTIFS('Trade Log'!B:B,A250,'Trade Log'!Q:Q,"LOSS"))</f>
        <v/>
      </c>
      <c r="E250" s="116">
        <f>IF(OR(A250="",B250=0),"-",C250/B250)</f>
        <v/>
      </c>
      <c r="F250" s="117">
        <f>IF(A250="","",SUMIF('Trade Log'!B:B,A250,'Trade Log'!N:N))</f>
        <v/>
      </c>
      <c r="G250" s="117">
        <f>IF(A250="","",SUM($F$3:F250))</f>
        <v/>
      </c>
    </row>
    <row r="251" ht="15" customHeight="1" s="75">
      <c r="A251" s="146" t="n"/>
      <c r="B251" s="115">
        <f>IF(A251="","",COUNTIF('Trade Log'!B:B,A251))</f>
        <v/>
      </c>
      <c r="C251" s="115">
        <f>IF(A251="","",COUNTIFS('Trade Log'!B:B,A251,'Trade Log'!Q:Q,"WIN"))</f>
        <v/>
      </c>
      <c r="D251" s="115">
        <f>IF(A251="","",COUNTIFS('Trade Log'!B:B,A251,'Trade Log'!Q:Q,"LOSS"))</f>
        <v/>
      </c>
      <c r="E251" s="116">
        <f>IF(OR(A251="",B251=0),"-",C251/B251)</f>
        <v/>
      </c>
      <c r="F251" s="117">
        <f>IF(A251="","",SUMIF('Trade Log'!B:B,A251,'Trade Log'!N:N))</f>
        <v/>
      </c>
      <c r="G251" s="117">
        <f>IF(A251="","",SUM($F$3:F251))</f>
        <v/>
      </c>
    </row>
    <row r="252" ht="15" customHeight="1" s="75">
      <c r="A252" s="146" t="n"/>
      <c r="B252" s="115">
        <f>IF(A252="","",COUNTIF('Trade Log'!B:B,A252))</f>
        <v/>
      </c>
      <c r="C252" s="115">
        <f>IF(A252="","",COUNTIFS('Trade Log'!B:B,A252,'Trade Log'!Q:Q,"WIN"))</f>
        <v/>
      </c>
      <c r="D252" s="115">
        <f>IF(A252="","",COUNTIFS('Trade Log'!B:B,A252,'Trade Log'!Q:Q,"LOSS"))</f>
        <v/>
      </c>
      <c r="E252" s="116">
        <f>IF(OR(A252="",B252=0),"-",C252/B252)</f>
        <v/>
      </c>
      <c r="F252" s="117">
        <f>IF(A252="","",SUMIF('Trade Log'!B:B,A252,'Trade Log'!N:N))</f>
        <v/>
      </c>
      <c r="G252" s="117">
        <f>IF(A252="","",SUM($F$3:F252))</f>
        <v/>
      </c>
    </row>
  </sheetData>
  <mergeCells count="1">
    <mergeCell ref="A1:G1"/>
  </mergeCells>
  <conditionalFormatting sqref="F3:F253">
    <cfRule type="cellIs" rank="0" priority="2" equalAverage="0" operator="greaterThan" aboveAverage="0" dxfId="7" text="" percent="0" bottom="0">
      <formula>0</formula>
    </cfRule>
    <cfRule type="cellIs" rank="0" priority="3" equalAverage="0" operator="lessThan" aboveAverage="0" dxfId="8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2026-03-06T21:49:21Z</dcterms:created>
  <dcterms:modified xmlns:dcterms="http://purl.org/dc/terms/" xmlns:xsi="http://www.w3.org/2001/XMLSchema-instance" xsi:type="dcterms:W3CDTF">2026-03-07T11:06:35Z</dcterms:modified>
  <cp:lastModifiedBy>jeffrey malkus</cp:lastModifiedBy>
  <cp:revision>0</cp:revision>
</cp:coreProperties>
</file>